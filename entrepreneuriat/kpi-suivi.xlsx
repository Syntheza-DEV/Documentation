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l_hebdo" sheetId="1" state="visible" r:id="rId1"/>
    <sheet name="Funnel_commercial" sheetId="2" state="visible" r:id="rId2"/>
    <sheet name="Objectifs" sheetId="3" state="visible" r:id="rId3"/>
    <sheet name="Definitions" sheetId="4" state="visible" r:id="rId4"/>
  </sheets>
  <definedNames>
    <definedName name="_xlnm._FilterDatabase" localSheetId="0" hidden="1">'Social_hebdo'!$A$1:$M$64</definedName>
    <definedName name="_xlnm._FilterDatabase" localSheetId="1" hidden="1">'Funnel_commercial'!$A$1:$S$22</definedName>
    <definedName name="_xlnm._FilterDatabase" localSheetId="3" hidden="1">'Definitions'!$A$1:$G$18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37373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4" fillId="0" borderId="0" pivotButton="0" quotePrefix="0" xfId="0"/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0" borderId="1" pivotButton="0" quotePrefix="0" xfId="0"/>
    <xf numFmtId="165" fontId="2" fillId="0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dxfs count="1">
    <dxf>
      <font>
        <color rgb="00E5E5E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 par canal (fin de semaine)</a:t>
            </a:r>
          </a:p>
        </rich>
      </tx>
    </title>
    <plotArea>
      <lineChart>
        <grouping val="standard"/>
        <ser>
          <idx val="0"/>
          <order val="0"/>
          <tx>
            <strRef>
              <f>'Social_hebdo'!P1</f>
            </strRef>
          </tx>
          <spPr>
            <a:ln>
              <a:solidFill>
                <a:srgbClr val="0A0A0A"/>
              </a:solidFill>
              <a:prstDash val="solid"/>
            </a:ln>
          </spPr>
          <marker>
            <symbol val="circle"/>
            <size val="5"/>
            <spPr>
              <a:solidFill>
                <a:srgbClr val="0A0A0A"/>
              </a:solidFill>
              <a:ln>
                <a:solidFill>
                  <a:srgbClr val="0A0A0A"/>
                </a:solidFill>
                <a:prstDash val="solid"/>
              </a:ln>
            </spPr>
          </marker>
          <cat>
            <numRef>
              <f>'Social_hebdo'!$O$2:$O$22</f>
            </numRef>
          </cat>
          <val>
            <numRef>
              <f>'Social_hebdo'!$P$2:$P$22</f>
            </numRef>
          </val>
          <smooth val="0"/>
        </ser>
        <ser>
          <idx val="1"/>
          <order val="1"/>
          <tx>
            <strRef>
              <f>'Social_hebdo'!Q1</f>
            </strRef>
          </tx>
          <spPr>
            <a:ln>
              <a:solidFill>
                <a:srgbClr val="737373"/>
              </a:solidFill>
              <a:prstDash val="solid"/>
            </a:ln>
          </spPr>
          <marker>
            <symbol val="circle"/>
            <size val="5"/>
            <spPr>
              <a:solidFill>
                <a:srgbClr val="737373"/>
              </a:solidFill>
              <a:ln>
                <a:solidFill>
                  <a:srgbClr val="737373"/>
                </a:solidFill>
                <a:prstDash val="solid"/>
              </a:ln>
            </spPr>
          </marker>
          <cat>
            <numRef>
              <f>'Social_hebdo'!$O$2:$O$22</f>
            </numRef>
          </cat>
          <val>
            <numRef>
              <f>'Social_hebdo'!$Q$2:$Q$22</f>
            </numRef>
          </val>
          <smooth val="0"/>
        </ser>
        <ser>
          <idx val="2"/>
          <order val="2"/>
          <tx>
            <strRef>
              <f>'Social_hebdo'!R1</f>
            </strRef>
          </tx>
          <spPr>
            <a:ln>
              <a:solidFill>
                <a:srgbClr val="BBBBBB"/>
              </a:solidFill>
              <a:prstDash val="solid"/>
            </a:ln>
          </spPr>
          <marker>
            <symbol val="circle"/>
            <size val="5"/>
            <spPr>
              <a:solidFill>
                <a:srgbClr val="BBBBBB"/>
              </a:solidFill>
              <a:ln>
                <a:solidFill>
                  <a:srgbClr val="BBBBBB"/>
                </a:solidFill>
                <a:prstDash val="solid"/>
              </a:ln>
            </spPr>
          </marker>
          <cat>
            <numRef>
              <f>'Social_hebdo'!$O$2:$O$22</f>
            </numRef>
          </cat>
          <val>
            <numRef>
              <f>'Social_hebdo'!$R$2:$R$22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abonnes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Impressions par canal (par semaine)</a:t>
            </a:r>
          </a:p>
        </rich>
      </tx>
    </title>
    <plotArea>
      <lineChart>
        <grouping val="standard"/>
        <ser>
          <idx val="0"/>
          <order val="0"/>
          <tx>
            <strRef>
              <f>'Social_hebdo'!S1</f>
            </strRef>
          </tx>
          <spPr>
            <a:ln>
              <a:solidFill>
                <a:srgbClr val="0A0A0A"/>
              </a:solidFill>
              <a:prstDash val="solid"/>
            </a:ln>
          </spPr>
          <marker>
            <symbol val="circle"/>
            <size val="5"/>
            <spPr>
              <a:solidFill>
                <a:srgbClr val="0A0A0A"/>
              </a:solidFill>
              <a:ln>
                <a:solidFill>
                  <a:srgbClr val="0A0A0A"/>
                </a:solidFill>
                <a:prstDash val="solid"/>
              </a:ln>
            </spPr>
          </marker>
          <cat>
            <numRef>
              <f>'Social_hebdo'!$O$2:$O$22</f>
            </numRef>
          </cat>
          <val>
            <numRef>
              <f>'Social_hebdo'!$S$2:$S$22</f>
            </numRef>
          </val>
          <smooth val="0"/>
        </ser>
        <ser>
          <idx val="1"/>
          <order val="1"/>
          <tx>
            <strRef>
              <f>'Social_hebdo'!T1</f>
            </strRef>
          </tx>
          <spPr>
            <a:ln>
              <a:solidFill>
                <a:srgbClr val="737373"/>
              </a:solidFill>
              <a:prstDash val="solid"/>
            </a:ln>
          </spPr>
          <marker>
            <symbol val="circle"/>
            <size val="5"/>
            <spPr>
              <a:solidFill>
                <a:srgbClr val="737373"/>
              </a:solidFill>
              <a:ln>
                <a:solidFill>
                  <a:srgbClr val="737373"/>
                </a:solidFill>
                <a:prstDash val="solid"/>
              </a:ln>
            </spPr>
          </marker>
          <cat>
            <numRef>
              <f>'Social_hebdo'!$O$2:$O$22</f>
            </numRef>
          </cat>
          <val>
            <numRef>
              <f>'Social_hebdo'!$T$2:$T$22</f>
            </numRef>
          </val>
          <smooth val="0"/>
        </ser>
        <ser>
          <idx val="2"/>
          <order val="2"/>
          <tx>
            <strRef>
              <f>'Social_hebdo'!U1</f>
            </strRef>
          </tx>
          <spPr>
            <a:ln>
              <a:solidFill>
                <a:srgbClr val="BBBBBB"/>
              </a:solidFill>
              <a:prstDash val="solid"/>
            </a:ln>
          </spPr>
          <marker>
            <symbol val="circle"/>
            <size val="5"/>
            <spPr>
              <a:solidFill>
                <a:srgbClr val="BBBBBB"/>
              </a:solidFill>
              <a:ln>
                <a:solidFill>
                  <a:srgbClr val="BBBBBB"/>
                </a:solidFill>
                <a:prstDash val="solid"/>
              </a:ln>
            </spPr>
          </marker>
          <cat>
            <numRef>
              <f>'Social_hebdo'!$O$2:$O$22</f>
            </numRef>
          </cat>
          <val>
            <numRef>
              <f>'Social_hebdo'!$U$2:$U$22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impressions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Tunnel commercial par semaine : contactés, réponses, démos</a:t>
            </a:r>
          </a:p>
        </rich>
      </tx>
    </title>
    <plotArea>
      <lineChart>
        <grouping val="standard"/>
        <ser>
          <idx val="0"/>
          <order val="0"/>
          <tx>
            <strRef>
              <f>'Funnel_commercial'!E1</f>
            </strRef>
          </tx>
          <spPr>
            <a:ln>
              <a:solidFill>
                <a:srgbClr val="0A0A0A"/>
              </a:solidFill>
              <a:prstDash val="solid"/>
            </a:ln>
          </spPr>
          <marker>
            <symbol val="circle"/>
            <size val="5"/>
            <spPr>
              <a:solidFill>
                <a:srgbClr val="0A0A0A"/>
              </a:solidFill>
              <a:ln>
                <a:solidFill>
                  <a:srgbClr val="0A0A0A"/>
                </a:solidFill>
                <a:prstDash val="solid"/>
              </a:ln>
            </spPr>
          </marker>
          <cat>
            <numRef>
              <f>'Funnel_commercial'!$A$2:$A$22</f>
            </numRef>
          </cat>
          <val>
            <numRef>
              <f>'Funnel_commercial'!$E$2:$E$22</f>
            </numRef>
          </val>
          <smooth val="0"/>
        </ser>
        <ser>
          <idx val="1"/>
          <order val="1"/>
          <tx>
            <strRef>
              <f>'Funnel_commercial'!F1</f>
            </strRef>
          </tx>
          <spPr>
            <a:ln>
              <a:solidFill>
                <a:srgbClr val="737373"/>
              </a:solidFill>
              <a:prstDash val="solid"/>
            </a:ln>
          </spPr>
          <marker>
            <symbol val="circle"/>
            <size val="5"/>
            <spPr>
              <a:solidFill>
                <a:srgbClr val="737373"/>
              </a:solidFill>
              <a:ln>
                <a:solidFill>
                  <a:srgbClr val="737373"/>
                </a:solidFill>
                <a:prstDash val="solid"/>
              </a:ln>
            </spPr>
          </marker>
          <cat>
            <numRef>
              <f>'Funnel_commercial'!$A$2:$A$22</f>
            </numRef>
          </cat>
          <val>
            <numRef>
              <f>'Funnel_commercial'!$F$2:$F$22</f>
            </numRef>
          </val>
          <smooth val="0"/>
        </ser>
        <ser>
          <idx val="2"/>
          <order val="2"/>
          <tx>
            <strRef>
              <f>'Funnel_commercial'!H1</f>
            </strRef>
          </tx>
          <spPr>
            <a:ln>
              <a:solidFill>
                <a:srgbClr val="BBBBBB"/>
              </a:solidFill>
              <a:prstDash val="solid"/>
            </a:ln>
          </spPr>
          <marker>
            <symbol val="circle"/>
            <size val="5"/>
            <spPr>
              <a:solidFill>
                <a:srgbClr val="BBBBBB"/>
              </a:solidFill>
              <a:ln>
                <a:solidFill>
                  <a:srgbClr val="BBBBBB"/>
                </a:solidFill>
                <a:prstDash val="solid"/>
              </a:ln>
            </spPr>
          </marker>
          <cat>
            <numRef>
              <f>'Funnel_commercial'!$A$2:$A$22</f>
            </numRef>
          </cat>
          <val>
            <numRef>
              <f>'Funnel_commercial'!$H$2:$H$22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comptes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26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43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28" customWidth="1" min="4" max="4"/>
    <col width="13" customWidth="1" min="5" max="5"/>
    <col width="13" customWidth="1" min="6" max="6"/>
    <col width="10" customWidth="1" min="7" max="7"/>
    <col width="10" customWidth="1" min="8" max="8"/>
    <col width="13" customWidth="1" min="9" max="9"/>
    <col width="16" customWidth="1" min="10" max="10"/>
    <col width="9" customWidth="1" min="11" max="11"/>
    <col width="14" customWidth="1" min="12" max="12"/>
    <col width="50" customWidth="1" min="13" max="13"/>
    <col width="18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32" customHeight="1">
      <c r="A1" s="1" t="inlineStr">
        <is>
          <t>semaine_iso</t>
        </is>
      </c>
      <c r="B1" s="1" t="inlineStr">
        <is>
          <t>lundi</t>
        </is>
      </c>
      <c r="C1" s="1" t="inlineStr">
        <is>
          <t>type</t>
        </is>
      </c>
      <c r="D1" s="1" t="inlineStr">
        <is>
          <t>canal</t>
        </is>
      </c>
      <c r="E1" s="1" t="inlineStr">
        <is>
          <t>publications</t>
        </is>
      </c>
      <c r="F1" s="1" t="inlineStr">
        <is>
          <t>impressions</t>
        </is>
      </c>
      <c r="G1" s="1" t="inlineStr">
        <is>
          <t>reach</t>
        </is>
      </c>
      <c r="H1" s="1" t="inlineStr">
        <is>
          <t>abonnes</t>
        </is>
      </c>
      <c r="I1" s="1" t="inlineStr">
        <is>
          <t>engagements</t>
        </is>
      </c>
      <c r="J1" s="1" t="inlineStr">
        <is>
          <t>taux_engagement</t>
        </is>
      </c>
      <c r="K1" s="1" t="inlineStr">
        <is>
          <t>clics</t>
        </is>
      </c>
      <c r="L1" s="1" t="inlineStr">
        <is>
          <t>visites_pilote</t>
        </is>
      </c>
      <c r="M1" s="1" t="inlineStr">
        <is>
          <t>note</t>
        </is>
      </c>
      <c r="O1" s="2" t="inlineStr">
        <is>
          <t>semaine (graphiques)</t>
        </is>
      </c>
      <c r="P1" s="2" t="inlineStr">
        <is>
          <t>abonnes - LinkedIn page</t>
        </is>
      </c>
      <c r="Q1" s="2" t="inlineStr">
        <is>
          <t>abonnes - LinkedIn profils</t>
        </is>
      </c>
      <c r="R1" s="2" t="inlineStr">
        <is>
          <t>abonnes - Instagram</t>
        </is>
      </c>
      <c r="S1" s="2" t="inlineStr">
        <is>
          <t>impressions - LinkedIn page</t>
        </is>
      </c>
      <c r="T1" s="2" t="inlineStr">
        <is>
          <t>impressions - LinkedIn profils</t>
        </is>
      </c>
      <c r="U1" s="2" t="inlineStr">
        <is>
          <t>impressions - Instagram</t>
        </is>
      </c>
    </row>
    <row r="2">
      <c r="A2" s="3" t="inlineStr">
        <is>
          <t>2026-S42</t>
        </is>
      </c>
      <c r="B2" s="22" t="n">
        <v>46307</v>
      </c>
      <c r="C2" s="3" t="inlineStr">
        <is>
          <t>baseline</t>
        </is>
      </c>
      <c r="D2" s="3" t="inlineStr">
        <is>
          <t>LinkedIn page</t>
        </is>
      </c>
      <c r="E2" s="3" t="n"/>
      <c r="F2" s="3" t="n"/>
      <c r="G2" s="3" t="n"/>
      <c r="H2" s="3" t="n"/>
      <c r="I2" s="3" t="n"/>
      <c r="J2" s="23">
        <f>IF(AND(ISNUMBER(F2),F2&gt;0,ISNUMBER(I2)),I2/F2,"")</f>
        <v/>
      </c>
      <c r="K2" s="3" t="n"/>
      <c r="L2" s="3" t="n"/>
      <c r="M2" s="3" t="inlineStr">
        <is>
          <t>Baseline relevée le 15/10/2026 (à relever)</t>
        </is>
      </c>
      <c r="O2" s="6" t="inlineStr">
        <is>
          <t>2026-S42</t>
        </is>
      </c>
      <c r="P2" s="6">
        <f>IF(COUNTIFS($A$2:$A$64,$O2,$D$2:$D$64,"LinkedIn page",$H$2:$H$64,"&lt;&gt;")=0,NA(),SUMIFS($H$2:$H$64,$A$2:$A$64,$O2,$D$2:$D$64,"LinkedIn page"))</f>
        <v/>
      </c>
      <c r="Q2" s="6">
        <f>IF(COUNTIFS($A$2:$A$64,$O2,$D$2:$D$64,"LinkedIn profils fondateurs",$H$2:$H$64,"&lt;&gt;")=0,NA(),SUMIFS($H$2:$H$64,$A$2:$A$64,$O2,$D$2:$D$64,"LinkedIn profils fondateurs"))</f>
        <v/>
      </c>
      <c r="R2" s="6">
        <f>IF(COUNTIFS($A$2:$A$64,$O2,$D$2:$D$64,"Instagram",$H$2:$H$64,"&lt;&gt;")=0,NA(),SUMIFS($H$2:$H$64,$A$2:$A$64,$O2,$D$2:$D$64,"Instagram"))</f>
        <v/>
      </c>
      <c r="S2" s="6">
        <f>IF(COUNTIFS($A$2:$A$64,$O2,$D$2:$D$64,"LinkedIn page",$F$2:$F$64,"&lt;&gt;")=0,NA(),SUMIFS($F$2:$F$64,$A$2:$A$64,$O2,$D$2:$D$64,"LinkedIn page"))</f>
        <v/>
      </c>
      <c r="T2" s="6">
        <f>IF(COUNTIFS($A$2:$A$64,$O2,$D$2:$D$64,"LinkedIn profils fondateurs",$F$2:$F$64,"&lt;&gt;")=0,NA(),SUMIFS($F$2:$F$64,$A$2:$A$64,$O2,$D$2:$D$64,"LinkedIn profils fondateurs"))</f>
        <v/>
      </c>
      <c r="U2" s="6">
        <f>IF(COUNTIFS($A$2:$A$64,$O2,$D$2:$D$64,"Instagram",$F$2:$F$64,"&lt;&gt;")=0,NA(),SUMIFS($F$2:$F$64,$A$2:$A$64,$O2,$D$2:$D$64,"Instagram"))</f>
        <v/>
      </c>
    </row>
    <row r="3">
      <c r="A3" s="3" t="inlineStr">
        <is>
          <t>2026-S42</t>
        </is>
      </c>
      <c r="B3" s="22" t="n">
        <v>46307</v>
      </c>
      <c r="C3" s="3" t="inlineStr">
        <is>
          <t>baseline</t>
        </is>
      </c>
      <c r="D3" s="3" t="inlineStr">
        <is>
          <t>LinkedIn profils fondateurs</t>
        </is>
      </c>
      <c r="E3" s="3" t="n"/>
      <c r="F3" s="3" t="n"/>
      <c r="G3" s="3" t="n"/>
      <c r="H3" s="3" t="n"/>
      <c r="I3" s="3" t="n"/>
      <c r="J3" s="23">
        <f>IF(AND(ISNUMBER(F3),F3&gt;0,ISNUMBER(I3)),I3/F3,"")</f>
        <v/>
      </c>
      <c r="K3" s="3" t="n"/>
      <c r="L3" s="3" t="n"/>
      <c r="M3" s="3" t="inlineStr">
        <is>
          <t>Baseline relevée le 15/10/2026 (à relever)</t>
        </is>
      </c>
      <c r="O3" s="6" t="inlineStr">
        <is>
          <t>2026-S43</t>
        </is>
      </c>
      <c r="P3" s="6">
        <f>IF(COUNTIFS($A$2:$A$64,$O3,$D$2:$D$64,"LinkedIn page",$H$2:$H$64,"&lt;&gt;")=0,NA(),SUMIFS($H$2:$H$64,$A$2:$A$64,$O3,$D$2:$D$64,"LinkedIn page"))</f>
        <v/>
      </c>
      <c r="Q3" s="6">
        <f>IF(COUNTIFS($A$2:$A$64,$O3,$D$2:$D$64,"LinkedIn profils fondateurs",$H$2:$H$64,"&lt;&gt;")=0,NA(),SUMIFS($H$2:$H$64,$A$2:$A$64,$O3,$D$2:$D$64,"LinkedIn profils fondateurs"))</f>
        <v/>
      </c>
      <c r="R3" s="6">
        <f>IF(COUNTIFS($A$2:$A$64,$O3,$D$2:$D$64,"Instagram",$H$2:$H$64,"&lt;&gt;")=0,NA(),SUMIFS($H$2:$H$64,$A$2:$A$64,$O3,$D$2:$D$64,"Instagram"))</f>
        <v/>
      </c>
      <c r="S3" s="6">
        <f>IF(COUNTIFS($A$2:$A$64,$O3,$D$2:$D$64,"LinkedIn page",$F$2:$F$64,"&lt;&gt;")=0,NA(),SUMIFS($F$2:$F$64,$A$2:$A$64,$O3,$D$2:$D$64,"LinkedIn page"))</f>
        <v/>
      </c>
      <c r="T3" s="6">
        <f>IF(COUNTIFS($A$2:$A$64,$O3,$D$2:$D$64,"LinkedIn profils fondateurs",$F$2:$F$64,"&lt;&gt;")=0,NA(),SUMIFS($F$2:$F$64,$A$2:$A$64,$O3,$D$2:$D$64,"LinkedIn profils fondateurs"))</f>
        <v/>
      </c>
      <c r="U3" s="6">
        <f>IF(COUNTIFS($A$2:$A$64,$O3,$D$2:$D$64,"Instagram",$F$2:$F$64,"&lt;&gt;")=0,NA(),SUMIFS($F$2:$F$64,$A$2:$A$64,$O3,$D$2:$D$64,"Instagram"))</f>
        <v/>
      </c>
    </row>
    <row r="4">
      <c r="A4" s="3" t="inlineStr">
        <is>
          <t>2026-S42</t>
        </is>
      </c>
      <c r="B4" s="22" t="n">
        <v>46307</v>
      </c>
      <c r="C4" s="3" t="inlineStr">
        <is>
          <t>baseline</t>
        </is>
      </c>
      <c r="D4" s="3" t="inlineStr">
        <is>
          <t>Instagram</t>
        </is>
      </c>
      <c r="E4" s="3" t="n"/>
      <c r="F4" s="3" t="n"/>
      <c r="G4" s="3" t="n"/>
      <c r="H4" s="3" t="n"/>
      <c r="I4" s="3" t="n"/>
      <c r="J4" s="23">
        <f>IF(AND(ISNUMBER(F4),F4&gt;0,ISNUMBER(I4)),I4/F4,"")</f>
        <v/>
      </c>
      <c r="K4" s="3" t="n"/>
      <c r="L4" s="3" t="n"/>
      <c r="M4" s="3" t="inlineStr">
        <is>
          <t>Baseline relevée le 15/10/2026 (à relever)</t>
        </is>
      </c>
      <c r="O4" s="6" t="inlineStr">
        <is>
          <t>2026-S44</t>
        </is>
      </c>
      <c r="P4" s="6">
        <f>IF(COUNTIFS($A$2:$A$64,$O4,$D$2:$D$64,"LinkedIn page",$H$2:$H$64,"&lt;&gt;")=0,NA(),SUMIFS($H$2:$H$64,$A$2:$A$64,$O4,$D$2:$D$64,"LinkedIn page"))</f>
        <v/>
      </c>
      <c r="Q4" s="6">
        <f>IF(COUNTIFS($A$2:$A$64,$O4,$D$2:$D$64,"LinkedIn profils fondateurs",$H$2:$H$64,"&lt;&gt;")=0,NA(),SUMIFS($H$2:$H$64,$A$2:$A$64,$O4,$D$2:$D$64,"LinkedIn profils fondateurs"))</f>
        <v/>
      </c>
      <c r="R4" s="6">
        <f>IF(COUNTIFS($A$2:$A$64,$O4,$D$2:$D$64,"Instagram",$H$2:$H$64,"&lt;&gt;")=0,NA(),SUMIFS($H$2:$H$64,$A$2:$A$64,$O4,$D$2:$D$64,"Instagram"))</f>
        <v/>
      </c>
      <c r="S4" s="6">
        <f>IF(COUNTIFS($A$2:$A$64,$O4,$D$2:$D$64,"LinkedIn page",$F$2:$F$64,"&lt;&gt;")=0,NA(),SUMIFS($F$2:$F$64,$A$2:$A$64,$O4,$D$2:$D$64,"LinkedIn page"))</f>
        <v/>
      </c>
      <c r="T4" s="6">
        <f>IF(COUNTIFS($A$2:$A$64,$O4,$D$2:$D$64,"LinkedIn profils fondateurs",$F$2:$F$64,"&lt;&gt;")=0,NA(),SUMIFS($F$2:$F$64,$A$2:$A$64,$O4,$D$2:$D$64,"LinkedIn profils fondateurs"))</f>
        <v/>
      </c>
      <c r="U4" s="6">
        <f>IF(COUNTIFS($A$2:$A$64,$O4,$D$2:$D$64,"Instagram",$F$2:$F$64,"&lt;&gt;")=0,NA(),SUMIFS($F$2:$F$64,$A$2:$A$64,$O4,$D$2:$D$64,"Instagram"))</f>
        <v/>
      </c>
    </row>
    <row r="5">
      <c r="A5" s="7" t="inlineStr">
        <is>
          <t>2026-S43</t>
        </is>
      </c>
      <c r="B5" s="24" t="n">
        <v>46314</v>
      </c>
      <c r="C5" s="7" t="inlineStr">
        <is>
          <t>suivi</t>
        </is>
      </c>
      <c r="D5" s="7" t="inlineStr">
        <is>
          <t>LinkedIn page</t>
        </is>
      </c>
      <c r="E5" s="7" t="n"/>
      <c r="F5" s="7" t="n"/>
      <c r="G5" s="7" t="n"/>
      <c r="H5" s="7" t="n"/>
      <c r="I5" s="7" t="n"/>
      <c r="J5" s="25">
        <f>IF(AND(ISNUMBER(F5),F5&gt;0,ISNUMBER(I5)),I5/F5,"")</f>
        <v/>
      </c>
      <c r="K5" s="7" t="n"/>
      <c r="L5" s="7" t="n"/>
      <c r="M5" s="7" t="inlineStr"/>
      <c r="O5" s="6" t="inlineStr">
        <is>
          <t>2026-S45</t>
        </is>
      </c>
      <c r="P5" s="6">
        <f>IF(COUNTIFS($A$2:$A$64,$O5,$D$2:$D$64,"LinkedIn page",$H$2:$H$64,"&lt;&gt;")=0,NA(),SUMIFS($H$2:$H$64,$A$2:$A$64,$O5,$D$2:$D$64,"LinkedIn page"))</f>
        <v/>
      </c>
      <c r="Q5" s="6">
        <f>IF(COUNTIFS($A$2:$A$64,$O5,$D$2:$D$64,"LinkedIn profils fondateurs",$H$2:$H$64,"&lt;&gt;")=0,NA(),SUMIFS($H$2:$H$64,$A$2:$A$64,$O5,$D$2:$D$64,"LinkedIn profils fondateurs"))</f>
        <v/>
      </c>
      <c r="R5" s="6">
        <f>IF(COUNTIFS($A$2:$A$64,$O5,$D$2:$D$64,"Instagram",$H$2:$H$64,"&lt;&gt;")=0,NA(),SUMIFS($H$2:$H$64,$A$2:$A$64,$O5,$D$2:$D$64,"Instagram"))</f>
        <v/>
      </c>
      <c r="S5" s="6">
        <f>IF(COUNTIFS($A$2:$A$64,$O5,$D$2:$D$64,"LinkedIn page",$F$2:$F$64,"&lt;&gt;")=0,NA(),SUMIFS($F$2:$F$64,$A$2:$A$64,$O5,$D$2:$D$64,"LinkedIn page"))</f>
        <v/>
      </c>
      <c r="T5" s="6">
        <f>IF(COUNTIFS($A$2:$A$64,$O5,$D$2:$D$64,"LinkedIn profils fondateurs",$F$2:$F$64,"&lt;&gt;")=0,NA(),SUMIFS($F$2:$F$64,$A$2:$A$64,$O5,$D$2:$D$64,"LinkedIn profils fondateurs"))</f>
        <v/>
      </c>
      <c r="U5" s="6">
        <f>IF(COUNTIFS($A$2:$A$64,$O5,$D$2:$D$64,"Instagram",$F$2:$F$64,"&lt;&gt;")=0,NA(),SUMIFS($F$2:$F$64,$A$2:$A$64,$O5,$D$2:$D$64,"Instagram"))</f>
        <v/>
      </c>
    </row>
    <row r="6">
      <c r="A6" s="7" t="inlineStr">
        <is>
          <t>2026-S43</t>
        </is>
      </c>
      <c r="B6" s="24" t="n">
        <v>46314</v>
      </c>
      <c r="C6" s="7" t="inlineStr">
        <is>
          <t>suivi</t>
        </is>
      </c>
      <c r="D6" s="7" t="inlineStr">
        <is>
          <t>LinkedIn profils fondateurs</t>
        </is>
      </c>
      <c r="E6" s="7" t="n"/>
      <c r="F6" s="7" t="n"/>
      <c r="G6" s="7" t="n"/>
      <c r="H6" s="7" t="n"/>
      <c r="I6" s="7" t="n"/>
      <c r="J6" s="25">
        <f>IF(AND(ISNUMBER(F6),F6&gt;0,ISNUMBER(I6)),I6/F6,"")</f>
        <v/>
      </c>
      <c r="K6" s="7" t="n"/>
      <c r="L6" s="7" t="n"/>
      <c r="M6" s="7" t="inlineStr"/>
      <c r="O6" s="6" t="inlineStr">
        <is>
          <t>2026-S46</t>
        </is>
      </c>
      <c r="P6" s="6">
        <f>IF(COUNTIFS($A$2:$A$64,$O6,$D$2:$D$64,"LinkedIn page",$H$2:$H$64,"&lt;&gt;")=0,NA(),SUMIFS($H$2:$H$64,$A$2:$A$64,$O6,$D$2:$D$64,"LinkedIn page"))</f>
        <v/>
      </c>
      <c r="Q6" s="6">
        <f>IF(COUNTIFS($A$2:$A$64,$O6,$D$2:$D$64,"LinkedIn profils fondateurs",$H$2:$H$64,"&lt;&gt;")=0,NA(),SUMIFS($H$2:$H$64,$A$2:$A$64,$O6,$D$2:$D$64,"LinkedIn profils fondateurs"))</f>
        <v/>
      </c>
      <c r="R6" s="6">
        <f>IF(COUNTIFS($A$2:$A$64,$O6,$D$2:$D$64,"Instagram",$H$2:$H$64,"&lt;&gt;")=0,NA(),SUMIFS($H$2:$H$64,$A$2:$A$64,$O6,$D$2:$D$64,"Instagram"))</f>
        <v/>
      </c>
      <c r="S6" s="6">
        <f>IF(COUNTIFS($A$2:$A$64,$O6,$D$2:$D$64,"LinkedIn page",$F$2:$F$64,"&lt;&gt;")=0,NA(),SUMIFS($F$2:$F$64,$A$2:$A$64,$O6,$D$2:$D$64,"LinkedIn page"))</f>
        <v/>
      </c>
      <c r="T6" s="6">
        <f>IF(COUNTIFS($A$2:$A$64,$O6,$D$2:$D$64,"LinkedIn profils fondateurs",$F$2:$F$64,"&lt;&gt;")=0,NA(),SUMIFS($F$2:$F$64,$A$2:$A$64,$O6,$D$2:$D$64,"LinkedIn profils fondateurs"))</f>
        <v/>
      </c>
      <c r="U6" s="6">
        <f>IF(COUNTIFS($A$2:$A$64,$O6,$D$2:$D$64,"Instagram",$F$2:$F$64,"&lt;&gt;")=0,NA(),SUMIFS($F$2:$F$64,$A$2:$A$64,$O6,$D$2:$D$64,"Instagram"))</f>
        <v/>
      </c>
    </row>
    <row r="7">
      <c r="A7" s="7" t="inlineStr">
        <is>
          <t>2026-S43</t>
        </is>
      </c>
      <c r="B7" s="24" t="n">
        <v>46314</v>
      </c>
      <c r="C7" s="7" t="inlineStr">
        <is>
          <t>suivi</t>
        </is>
      </c>
      <c r="D7" s="7" t="inlineStr">
        <is>
          <t>Instagram</t>
        </is>
      </c>
      <c r="E7" s="7" t="n"/>
      <c r="F7" s="7" t="n"/>
      <c r="G7" s="7" t="n"/>
      <c r="H7" s="7" t="n"/>
      <c r="I7" s="7" t="n"/>
      <c r="J7" s="25">
        <f>IF(AND(ISNUMBER(F7),F7&gt;0,ISNUMBER(I7)),I7/F7,"")</f>
        <v/>
      </c>
      <c r="K7" s="7" t="n"/>
      <c r="L7" s="7" t="n"/>
      <c r="M7" s="7" t="inlineStr"/>
      <c r="O7" s="6" t="inlineStr">
        <is>
          <t>2026-S47</t>
        </is>
      </c>
      <c r="P7" s="6">
        <f>IF(COUNTIFS($A$2:$A$64,$O7,$D$2:$D$64,"LinkedIn page",$H$2:$H$64,"&lt;&gt;")=0,NA(),SUMIFS($H$2:$H$64,$A$2:$A$64,$O7,$D$2:$D$64,"LinkedIn page"))</f>
        <v/>
      </c>
      <c r="Q7" s="6">
        <f>IF(COUNTIFS($A$2:$A$64,$O7,$D$2:$D$64,"LinkedIn profils fondateurs",$H$2:$H$64,"&lt;&gt;")=0,NA(),SUMIFS($H$2:$H$64,$A$2:$A$64,$O7,$D$2:$D$64,"LinkedIn profils fondateurs"))</f>
        <v/>
      </c>
      <c r="R7" s="6">
        <f>IF(COUNTIFS($A$2:$A$64,$O7,$D$2:$D$64,"Instagram",$H$2:$H$64,"&lt;&gt;")=0,NA(),SUMIFS($H$2:$H$64,$A$2:$A$64,$O7,$D$2:$D$64,"Instagram"))</f>
        <v/>
      </c>
      <c r="S7" s="6">
        <f>IF(COUNTIFS($A$2:$A$64,$O7,$D$2:$D$64,"LinkedIn page",$F$2:$F$64,"&lt;&gt;")=0,NA(),SUMIFS($F$2:$F$64,$A$2:$A$64,$O7,$D$2:$D$64,"LinkedIn page"))</f>
        <v/>
      </c>
      <c r="T7" s="6">
        <f>IF(COUNTIFS($A$2:$A$64,$O7,$D$2:$D$64,"LinkedIn profils fondateurs",$F$2:$F$64,"&lt;&gt;")=0,NA(),SUMIFS($F$2:$F$64,$A$2:$A$64,$O7,$D$2:$D$64,"LinkedIn profils fondateurs"))</f>
        <v/>
      </c>
      <c r="U7" s="6">
        <f>IF(COUNTIFS($A$2:$A$64,$O7,$D$2:$D$64,"Instagram",$F$2:$F$64,"&lt;&gt;")=0,NA(),SUMIFS($F$2:$F$64,$A$2:$A$64,$O7,$D$2:$D$64,"Instagram"))</f>
        <v/>
      </c>
    </row>
    <row r="8">
      <c r="A8" s="3" t="inlineStr">
        <is>
          <t>2026-S44</t>
        </is>
      </c>
      <c r="B8" s="22" t="n">
        <v>46321</v>
      </c>
      <c r="C8" s="3" t="inlineStr">
        <is>
          <t>suivi</t>
        </is>
      </c>
      <c r="D8" s="3" t="inlineStr">
        <is>
          <t>LinkedIn page</t>
        </is>
      </c>
      <c r="E8" s="3" t="n"/>
      <c r="F8" s="3" t="n"/>
      <c r="G8" s="3" t="n"/>
      <c r="H8" s="3" t="n"/>
      <c r="I8" s="3" t="n"/>
      <c r="J8" s="23">
        <f>IF(AND(ISNUMBER(F8),F8&gt;0,ISNUMBER(I8)),I8/F8,"")</f>
        <v/>
      </c>
      <c r="K8" s="3" t="n"/>
      <c r="L8" s="3" t="n"/>
      <c r="M8" s="3" t="inlineStr"/>
      <c r="O8" s="6" t="inlineStr">
        <is>
          <t>2026-S48</t>
        </is>
      </c>
      <c r="P8" s="6">
        <f>IF(COUNTIFS($A$2:$A$64,$O8,$D$2:$D$64,"LinkedIn page",$H$2:$H$64,"&lt;&gt;")=0,NA(),SUMIFS($H$2:$H$64,$A$2:$A$64,$O8,$D$2:$D$64,"LinkedIn page"))</f>
        <v/>
      </c>
      <c r="Q8" s="6">
        <f>IF(COUNTIFS($A$2:$A$64,$O8,$D$2:$D$64,"LinkedIn profils fondateurs",$H$2:$H$64,"&lt;&gt;")=0,NA(),SUMIFS($H$2:$H$64,$A$2:$A$64,$O8,$D$2:$D$64,"LinkedIn profils fondateurs"))</f>
        <v/>
      </c>
      <c r="R8" s="6">
        <f>IF(COUNTIFS($A$2:$A$64,$O8,$D$2:$D$64,"Instagram",$H$2:$H$64,"&lt;&gt;")=0,NA(),SUMIFS($H$2:$H$64,$A$2:$A$64,$O8,$D$2:$D$64,"Instagram"))</f>
        <v/>
      </c>
      <c r="S8" s="6">
        <f>IF(COUNTIFS($A$2:$A$64,$O8,$D$2:$D$64,"LinkedIn page",$F$2:$F$64,"&lt;&gt;")=0,NA(),SUMIFS($F$2:$F$64,$A$2:$A$64,$O8,$D$2:$D$64,"LinkedIn page"))</f>
        <v/>
      </c>
      <c r="T8" s="6">
        <f>IF(COUNTIFS($A$2:$A$64,$O8,$D$2:$D$64,"LinkedIn profils fondateurs",$F$2:$F$64,"&lt;&gt;")=0,NA(),SUMIFS($F$2:$F$64,$A$2:$A$64,$O8,$D$2:$D$64,"LinkedIn profils fondateurs"))</f>
        <v/>
      </c>
      <c r="U8" s="6">
        <f>IF(COUNTIFS($A$2:$A$64,$O8,$D$2:$D$64,"Instagram",$F$2:$F$64,"&lt;&gt;")=0,NA(),SUMIFS($F$2:$F$64,$A$2:$A$64,$O8,$D$2:$D$64,"Instagram"))</f>
        <v/>
      </c>
    </row>
    <row r="9">
      <c r="A9" s="3" t="inlineStr">
        <is>
          <t>2026-S44</t>
        </is>
      </c>
      <c r="B9" s="22" t="n">
        <v>46321</v>
      </c>
      <c r="C9" s="3" t="inlineStr">
        <is>
          <t>suivi</t>
        </is>
      </c>
      <c r="D9" s="3" t="inlineStr">
        <is>
          <t>LinkedIn profils fondateurs</t>
        </is>
      </c>
      <c r="E9" s="3" t="n"/>
      <c r="F9" s="3" t="n"/>
      <c r="G9" s="3" t="n"/>
      <c r="H9" s="3" t="n"/>
      <c r="I9" s="3" t="n"/>
      <c r="J9" s="23">
        <f>IF(AND(ISNUMBER(F9),F9&gt;0,ISNUMBER(I9)),I9/F9,"")</f>
        <v/>
      </c>
      <c r="K9" s="3" t="n"/>
      <c r="L9" s="3" t="n"/>
      <c r="M9" s="3" t="inlineStr"/>
      <c r="O9" s="6" t="inlineStr">
        <is>
          <t>2026-S49</t>
        </is>
      </c>
      <c r="P9" s="6">
        <f>IF(COUNTIFS($A$2:$A$64,$O9,$D$2:$D$64,"LinkedIn page",$H$2:$H$64,"&lt;&gt;")=0,NA(),SUMIFS($H$2:$H$64,$A$2:$A$64,$O9,$D$2:$D$64,"LinkedIn page"))</f>
        <v/>
      </c>
      <c r="Q9" s="6">
        <f>IF(COUNTIFS($A$2:$A$64,$O9,$D$2:$D$64,"LinkedIn profils fondateurs",$H$2:$H$64,"&lt;&gt;")=0,NA(),SUMIFS($H$2:$H$64,$A$2:$A$64,$O9,$D$2:$D$64,"LinkedIn profils fondateurs"))</f>
        <v/>
      </c>
      <c r="R9" s="6">
        <f>IF(COUNTIFS($A$2:$A$64,$O9,$D$2:$D$64,"Instagram",$H$2:$H$64,"&lt;&gt;")=0,NA(),SUMIFS($H$2:$H$64,$A$2:$A$64,$O9,$D$2:$D$64,"Instagram"))</f>
        <v/>
      </c>
      <c r="S9" s="6">
        <f>IF(COUNTIFS($A$2:$A$64,$O9,$D$2:$D$64,"LinkedIn page",$F$2:$F$64,"&lt;&gt;")=0,NA(),SUMIFS($F$2:$F$64,$A$2:$A$64,$O9,$D$2:$D$64,"LinkedIn page"))</f>
        <v/>
      </c>
      <c r="T9" s="6">
        <f>IF(COUNTIFS($A$2:$A$64,$O9,$D$2:$D$64,"LinkedIn profils fondateurs",$F$2:$F$64,"&lt;&gt;")=0,NA(),SUMIFS($F$2:$F$64,$A$2:$A$64,$O9,$D$2:$D$64,"LinkedIn profils fondateurs"))</f>
        <v/>
      </c>
      <c r="U9" s="6">
        <f>IF(COUNTIFS($A$2:$A$64,$O9,$D$2:$D$64,"Instagram",$F$2:$F$64,"&lt;&gt;")=0,NA(),SUMIFS($F$2:$F$64,$A$2:$A$64,$O9,$D$2:$D$64,"Instagram"))</f>
        <v/>
      </c>
    </row>
    <row r="10">
      <c r="A10" s="3" t="inlineStr">
        <is>
          <t>2026-S44</t>
        </is>
      </c>
      <c r="B10" s="22" t="n">
        <v>46321</v>
      </c>
      <c r="C10" s="3" t="inlineStr">
        <is>
          <t>suivi</t>
        </is>
      </c>
      <c r="D10" s="3" t="inlineStr">
        <is>
          <t>Instagram</t>
        </is>
      </c>
      <c r="E10" s="3" t="n"/>
      <c r="F10" s="3" t="n"/>
      <c r="G10" s="3" t="n"/>
      <c r="H10" s="3" t="n"/>
      <c r="I10" s="3" t="n"/>
      <c r="J10" s="23">
        <f>IF(AND(ISNUMBER(F10),F10&gt;0,ISNUMBER(I10)),I10/F10,"")</f>
        <v/>
      </c>
      <c r="K10" s="3" t="n"/>
      <c r="L10" s="3" t="n"/>
      <c r="M10" s="3" t="inlineStr"/>
      <c r="O10" s="6" t="inlineStr">
        <is>
          <t>2026-S50</t>
        </is>
      </c>
      <c r="P10" s="6">
        <f>IF(COUNTIFS($A$2:$A$64,$O10,$D$2:$D$64,"LinkedIn page",$H$2:$H$64,"&lt;&gt;")=0,NA(),SUMIFS($H$2:$H$64,$A$2:$A$64,$O10,$D$2:$D$64,"LinkedIn page"))</f>
        <v/>
      </c>
      <c r="Q10" s="6">
        <f>IF(COUNTIFS($A$2:$A$64,$O10,$D$2:$D$64,"LinkedIn profils fondateurs",$H$2:$H$64,"&lt;&gt;")=0,NA(),SUMIFS($H$2:$H$64,$A$2:$A$64,$O10,$D$2:$D$64,"LinkedIn profils fondateurs"))</f>
        <v/>
      </c>
      <c r="R10" s="6">
        <f>IF(COUNTIFS($A$2:$A$64,$O10,$D$2:$D$64,"Instagram",$H$2:$H$64,"&lt;&gt;")=0,NA(),SUMIFS($H$2:$H$64,$A$2:$A$64,$O10,$D$2:$D$64,"Instagram"))</f>
        <v/>
      </c>
      <c r="S10" s="6">
        <f>IF(COUNTIFS($A$2:$A$64,$O10,$D$2:$D$64,"LinkedIn page",$F$2:$F$64,"&lt;&gt;")=0,NA(),SUMIFS($F$2:$F$64,$A$2:$A$64,$O10,$D$2:$D$64,"LinkedIn page"))</f>
        <v/>
      </c>
      <c r="T10" s="6">
        <f>IF(COUNTIFS($A$2:$A$64,$O10,$D$2:$D$64,"LinkedIn profils fondateurs",$F$2:$F$64,"&lt;&gt;")=0,NA(),SUMIFS($F$2:$F$64,$A$2:$A$64,$O10,$D$2:$D$64,"LinkedIn profils fondateurs"))</f>
        <v/>
      </c>
      <c r="U10" s="6">
        <f>IF(COUNTIFS($A$2:$A$64,$O10,$D$2:$D$64,"Instagram",$F$2:$F$64,"&lt;&gt;")=0,NA(),SUMIFS($F$2:$F$64,$A$2:$A$64,$O10,$D$2:$D$64,"Instagram"))</f>
        <v/>
      </c>
    </row>
    <row r="11">
      <c r="A11" s="7" t="inlineStr">
        <is>
          <t>2026-S45</t>
        </is>
      </c>
      <c r="B11" s="24" t="n">
        <v>46328</v>
      </c>
      <c r="C11" s="7" t="inlineStr">
        <is>
          <t>suivi</t>
        </is>
      </c>
      <c r="D11" s="7" t="inlineStr">
        <is>
          <t>LinkedIn page</t>
        </is>
      </c>
      <c r="E11" s="7" t="n"/>
      <c r="F11" s="7" t="n"/>
      <c r="G11" s="7" t="n"/>
      <c r="H11" s="7" t="n"/>
      <c r="I11" s="7" t="n"/>
      <c r="J11" s="25">
        <f>IF(AND(ISNUMBER(F11),F11&gt;0,ISNUMBER(I11)),I11/F11,"")</f>
        <v/>
      </c>
      <c r="K11" s="7" t="n"/>
      <c r="L11" s="7" t="n"/>
      <c r="M11" s="7" t="inlineStr"/>
      <c r="O11" s="6" t="inlineStr">
        <is>
          <t>2026-S51</t>
        </is>
      </c>
      <c r="P11" s="6">
        <f>IF(COUNTIFS($A$2:$A$64,$O11,$D$2:$D$64,"LinkedIn page",$H$2:$H$64,"&lt;&gt;")=0,NA(),SUMIFS($H$2:$H$64,$A$2:$A$64,$O11,$D$2:$D$64,"LinkedIn page"))</f>
        <v/>
      </c>
      <c r="Q11" s="6">
        <f>IF(COUNTIFS($A$2:$A$64,$O11,$D$2:$D$64,"LinkedIn profils fondateurs",$H$2:$H$64,"&lt;&gt;")=0,NA(),SUMIFS($H$2:$H$64,$A$2:$A$64,$O11,$D$2:$D$64,"LinkedIn profils fondateurs"))</f>
        <v/>
      </c>
      <c r="R11" s="6">
        <f>IF(COUNTIFS($A$2:$A$64,$O11,$D$2:$D$64,"Instagram",$H$2:$H$64,"&lt;&gt;")=0,NA(),SUMIFS($H$2:$H$64,$A$2:$A$64,$O11,$D$2:$D$64,"Instagram"))</f>
        <v/>
      </c>
      <c r="S11" s="6">
        <f>IF(COUNTIFS($A$2:$A$64,$O11,$D$2:$D$64,"LinkedIn page",$F$2:$F$64,"&lt;&gt;")=0,NA(),SUMIFS($F$2:$F$64,$A$2:$A$64,$O11,$D$2:$D$64,"LinkedIn page"))</f>
        <v/>
      </c>
      <c r="T11" s="6">
        <f>IF(COUNTIFS($A$2:$A$64,$O11,$D$2:$D$64,"LinkedIn profils fondateurs",$F$2:$F$64,"&lt;&gt;")=0,NA(),SUMIFS($F$2:$F$64,$A$2:$A$64,$O11,$D$2:$D$64,"LinkedIn profils fondateurs"))</f>
        <v/>
      </c>
      <c r="U11" s="6">
        <f>IF(COUNTIFS($A$2:$A$64,$O11,$D$2:$D$64,"Instagram",$F$2:$F$64,"&lt;&gt;")=0,NA(),SUMIFS($F$2:$F$64,$A$2:$A$64,$O11,$D$2:$D$64,"Instagram"))</f>
        <v/>
      </c>
    </row>
    <row r="12">
      <c r="A12" s="7" t="inlineStr">
        <is>
          <t>2026-S45</t>
        </is>
      </c>
      <c r="B12" s="24" t="n">
        <v>46328</v>
      </c>
      <c r="C12" s="7" t="inlineStr">
        <is>
          <t>suivi</t>
        </is>
      </c>
      <c r="D12" s="7" t="inlineStr">
        <is>
          <t>LinkedIn profils fondateurs</t>
        </is>
      </c>
      <c r="E12" s="7" t="n"/>
      <c r="F12" s="7" t="n"/>
      <c r="G12" s="7" t="n"/>
      <c r="H12" s="7" t="n"/>
      <c r="I12" s="7" t="n"/>
      <c r="J12" s="25">
        <f>IF(AND(ISNUMBER(F12),F12&gt;0,ISNUMBER(I12)),I12/F12,"")</f>
        <v/>
      </c>
      <c r="K12" s="7" t="n"/>
      <c r="L12" s="7" t="n"/>
      <c r="M12" s="7" t="inlineStr"/>
      <c r="O12" s="6" t="inlineStr">
        <is>
          <t>2026-S52</t>
        </is>
      </c>
      <c r="P12" s="6">
        <f>IF(COUNTIFS($A$2:$A$64,$O12,$D$2:$D$64,"LinkedIn page",$H$2:$H$64,"&lt;&gt;")=0,NA(),SUMIFS($H$2:$H$64,$A$2:$A$64,$O12,$D$2:$D$64,"LinkedIn page"))</f>
        <v/>
      </c>
      <c r="Q12" s="6">
        <f>IF(COUNTIFS($A$2:$A$64,$O12,$D$2:$D$64,"LinkedIn profils fondateurs",$H$2:$H$64,"&lt;&gt;")=0,NA(),SUMIFS($H$2:$H$64,$A$2:$A$64,$O12,$D$2:$D$64,"LinkedIn profils fondateurs"))</f>
        <v/>
      </c>
      <c r="R12" s="6">
        <f>IF(COUNTIFS($A$2:$A$64,$O12,$D$2:$D$64,"Instagram",$H$2:$H$64,"&lt;&gt;")=0,NA(),SUMIFS($H$2:$H$64,$A$2:$A$64,$O12,$D$2:$D$64,"Instagram"))</f>
        <v/>
      </c>
      <c r="S12" s="6">
        <f>IF(COUNTIFS($A$2:$A$64,$O12,$D$2:$D$64,"LinkedIn page",$F$2:$F$64,"&lt;&gt;")=0,NA(),SUMIFS($F$2:$F$64,$A$2:$A$64,$O12,$D$2:$D$64,"LinkedIn page"))</f>
        <v/>
      </c>
      <c r="T12" s="6">
        <f>IF(COUNTIFS($A$2:$A$64,$O12,$D$2:$D$64,"LinkedIn profils fondateurs",$F$2:$F$64,"&lt;&gt;")=0,NA(),SUMIFS($F$2:$F$64,$A$2:$A$64,$O12,$D$2:$D$64,"LinkedIn profils fondateurs"))</f>
        <v/>
      </c>
      <c r="U12" s="6">
        <f>IF(COUNTIFS($A$2:$A$64,$O12,$D$2:$D$64,"Instagram",$F$2:$F$64,"&lt;&gt;")=0,NA(),SUMIFS($F$2:$F$64,$A$2:$A$64,$O12,$D$2:$D$64,"Instagram"))</f>
        <v/>
      </c>
    </row>
    <row r="13">
      <c r="A13" s="7" t="inlineStr">
        <is>
          <t>2026-S45</t>
        </is>
      </c>
      <c r="B13" s="24" t="n">
        <v>46328</v>
      </c>
      <c r="C13" s="7" t="inlineStr">
        <is>
          <t>suivi</t>
        </is>
      </c>
      <c r="D13" s="7" t="inlineStr">
        <is>
          <t>Instagram</t>
        </is>
      </c>
      <c r="E13" s="7" t="n"/>
      <c r="F13" s="7" t="n"/>
      <c r="G13" s="7" t="n"/>
      <c r="H13" s="7" t="n"/>
      <c r="I13" s="7" t="n"/>
      <c r="J13" s="25">
        <f>IF(AND(ISNUMBER(F13),F13&gt;0,ISNUMBER(I13)),I13/F13,"")</f>
        <v/>
      </c>
      <c r="K13" s="7" t="n"/>
      <c r="L13" s="7" t="n"/>
      <c r="M13" s="7" t="inlineStr"/>
      <c r="O13" s="6" t="inlineStr">
        <is>
          <t>2026-S53</t>
        </is>
      </c>
      <c r="P13" s="6">
        <f>IF(COUNTIFS($A$2:$A$64,$O13,$D$2:$D$64,"LinkedIn page",$H$2:$H$64,"&lt;&gt;")=0,NA(),SUMIFS($H$2:$H$64,$A$2:$A$64,$O13,$D$2:$D$64,"LinkedIn page"))</f>
        <v/>
      </c>
      <c r="Q13" s="6">
        <f>IF(COUNTIFS($A$2:$A$64,$O13,$D$2:$D$64,"LinkedIn profils fondateurs",$H$2:$H$64,"&lt;&gt;")=0,NA(),SUMIFS($H$2:$H$64,$A$2:$A$64,$O13,$D$2:$D$64,"LinkedIn profils fondateurs"))</f>
        <v/>
      </c>
      <c r="R13" s="6">
        <f>IF(COUNTIFS($A$2:$A$64,$O13,$D$2:$D$64,"Instagram",$H$2:$H$64,"&lt;&gt;")=0,NA(),SUMIFS($H$2:$H$64,$A$2:$A$64,$O13,$D$2:$D$64,"Instagram"))</f>
        <v/>
      </c>
      <c r="S13" s="6">
        <f>IF(COUNTIFS($A$2:$A$64,$O13,$D$2:$D$64,"LinkedIn page",$F$2:$F$64,"&lt;&gt;")=0,NA(),SUMIFS($F$2:$F$64,$A$2:$A$64,$O13,$D$2:$D$64,"LinkedIn page"))</f>
        <v/>
      </c>
      <c r="T13" s="6">
        <f>IF(COUNTIFS($A$2:$A$64,$O13,$D$2:$D$64,"LinkedIn profils fondateurs",$F$2:$F$64,"&lt;&gt;")=0,NA(),SUMIFS($F$2:$F$64,$A$2:$A$64,$O13,$D$2:$D$64,"LinkedIn profils fondateurs"))</f>
        <v/>
      </c>
      <c r="U13" s="6">
        <f>IF(COUNTIFS($A$2:$A$64,$O13,$D$2:$D$64,"Instagram",$F$2:$F$64,"&lt;&gt;")=0,NA(),SUMIFS($F$2:$F$64,$A$2:$A$64,$O13,$D$2:$D$64,"Instagram"))</f>
        <v/>
      </c>
    </row>
    <row r="14">
      <c r="A14" s="3" t="inlineStr">
        <is>
          <t>2026-S46</t>
        </is>
      </c>
      <c r="B14" s="22" t="n">
        <v>46335</v>
      </c>
      <c r="C14" s="3" t="inlineStr">
        <is>
          <t>suivi</t>
        </is>
      </c>
      <c r="D14" s="3" t="inlineStr">
        <is>
          <t>LinkedIn page</t>
        </is>
      </c>
      <c r="E14" s="3" t="n"/>
      <c r="F14" s="3" t="n"/>
      <c r="G14" s="3" t="n"/>
      <c r="H14" s="3" t="n"/>
      <c r="I14" s="3" t="n"/>
      <c r="J14" s="23">
        <f>IF(AND(ISNUMBER(F14),F14&gt;0,ISNUMBER(I14)),I14/F14,"")</f>
        <v/>
      </c>
      <c r="K14" s="3" t="n"/>
      <c r="L14" s="3" t="n"/>
      <c r="M14" s="3" t="inlineStr"/>
      <c r="O14" s="6" t="inlineStr">
        <is>
          <t>2027-S01</t>
        </is>
      </c>
      <c r="P14" s="6">
        <f>IF(COUNTIFS($A$2:$A$64,$O14,$D$2:$D$64,"LinkedIn page",$H$2:$H$64,"&lt;&gt;")=0,NA(),SUMIFS($H$2:$H$64,$A$2:$A$64,$O14,$D$2:$D$64,"LinkedIn page"))</f>
        <v/>
      </c>
      <c r="Q14" s="6">
        <f>IF(COUNTIFS($A$2:$A$64,$O14,$D$2:$D$64,"LinkedIn profils fondateurs",$H$2:$H$64,"&lt;&gt;")=0,NA(),SUMIFS($H$2:$H$64,$A$2:$A$64,$O14,$D$2:$D$64,"LinkedIn profils fondateurs"))</f>
        <v/>
      </c>
      <c r="R14" s="6">
        <f>IF(COUNTIFS($A$2:$A$64,$O14,$D$2:$D$64,"Instagram",$H$2:$H$64,"&lt;&gt;")=0,NA(),SUMIFS($H$2:$H$64,$A$2:$A$64,$O14,$D$2:$D$64,"Instagram"))</f>
        <v/>
      </c>
      <c r="S14" s="6">
        <f>IF(COUNTIFS($A$2:$A$64,$O14,$D$2:$D$64,"LinkedIn page",$F$2:$F$64,"&lt;&gt;")=0,NA(),SUMIFS($F$2:$F$64,$A$2:$A$64,$O14,$D$2:$D$64,"LinkedIn page"))</f>
        <v/>
      </c>
      <c r="T14" s="6">
        <f>IF(COUNTIFS($A$2:$A$64,$O14,$D$2:$D$64,"LinkedIn profils fondateurs",$F$2:$F$64,"&lt;&gt;")=0,NA(),SUMIFS($F$2:$F$64,$A$2:$A$64,$O14,$D$2:$D$64,"LinkedIn profils fondateurs"))</f>
        <v/>
      </c>
      <c r="U14" s="6">
        <f>IF(COUNTIFS($A$2:$A$64,$O14,$D$2:$D$64,"Instagram",$F$2:$F$64,"&lt;&gt;")=0,NA(),SUMIFS($F$2:$F$64,$A$2:$A$64,$O14,$D$2:$D$64,"Instagram"))</f>
        <v/>
      </c>
    </row>
    <row r="15">
      <c r="A15" s="3" t="inlineStr">
        <is>
          <t>2026-S46</t>
        </is>
      </c>
      <c r="B15" s="22" t="n">
        <v>46335</v>
      </c>
      <c r="C15" s="3" t="inlineStr">
        <is>
          <t>suivi</t>
        </is>
      </c>
      <c r="D15" s="3" t="inlineStr">
        <is>
          <t>LinkedIn profils fondateurs</t>
        </is>
      </c>
      <c r="E15" s="3" t="n"/>
      <c r="F15" s="3" t="n"/>
      <c r="G15" s="3" t="n"/>
      <c r="H15" s="3" t="n"/>
      <c r="I15" s="3" t="n"/>
      <c r="J15" s="23">
        <f>IF(AND(ISNUMBER(F15),F15&gt;0,ISNUMBER(I15)),I15/F15,"")</f>
        <v/>
      </c>
      <c r="K15" s="3" t="n"/>
      <c r="L15" s="3" t="n"/>
      <c r="M15" s="3" t="inlineStr"/>
      <c r="O15" s="6" t="inlineStr">
        <is>
          <t>2027-S02</t>
        </is>
      </c>
      <c r="P15" s="6">
        <f>IF(COUNTIFS($A$2:$A$64,$O15,$D$2:$D$64,"LinkedIn page",$H$2:$H$64,"&lt;&gt;")=0,NA(),SUMIFS($H$2:$H$64,$A$2:$A$64,$O15,$D$2:$D$64,"LinkedIn page"))</f>
        <v/>
      </c>
      <c r="Q15" s="6">
        <f>IF(COUNTIFS($A$2:$A$64,$O15,$D$2:$D$64,"LinkedIn profils fondateurs",$H$2:$H$64,"&lt;&gt;")=0,NA(),SUMIFS($H$2:$H$64,$A$2:$A$64,$O15,$D$2:$D$64,"LinkedIn profils fondateurs"))</f>
        <v/>
      </c>
      <c r="R15" s="6">
        <f>IF(COUNTIFS($A$2:$A$64,$O15,$D$2:$D$64,"Instagram",$H$2:$H$64,"&lt;&gt;")=0,NA(),SUMIFS($H$2:$H$64,$A$2:$A$64,$O15,$D$2:$D$64,"Instagram"))</f>
        <v/>
      </c>
      <c r="S15" s="6">
        <f>IF(COUNTIFS($A$2:$A$64,$O15,$D$2:$D$64,"LinkedIn page",$F$2:$F$64,"&lt;&gt;")=0,NA(),SUMIFS($F$2:$F$64,$A$2:$A$64,$O15,$D$2:$D$64,"LinkedIn page"))</f>
        <v/>
      </c>
      <c r="T15" s="6">
        <f>IF(COUNTIFS($A$2:$A$64,$O15,$D$2:$D$64,"LinkedIn profils fondateurs",$F$2:$F$64,"&lt;&gt;")=0,NA(),SUMIFS($F$2:$F$64,$A$2:$A$64,$O15,$D$2:$D$64,"LinkedIn profils fondateurs"))</f>
        <v/>
      </c>
      <c r="U15" s="6">
        <f>IF(COUNTIFS($A$2:$A$64,$O15,$D$2:$D$64,"Instagram",$F$2:$F$64,"&lt;&gt;")=0,NA(),SUMIFS($F$2:$F$64,$A$2:$A$64,$O15,$D$2:$D$64,"Instagram"))</f>
        <v/>
      </c>
    </row>
    <row r="16">
      <c r="A16" s="3" t="inlineStr">
        <is>
          <t>2026-S46</t>
        </is>
      </c>
      <c r="B16" s="22" t="n">
        <v>46335</v>
      </c>
      <c r="C16" s="3" t="inlineStr">
        <is>
          <t>suivi</t>
        </is>
      </c>
      <c r="D16" s="3" t="inlineStr">
        <is>
          <t>Instagram</t>
        </is>
      </c>
      <c r="E16" s="3" t="n"/>
      <c r="F16" s="3" t="n"/>
      <c r="G16" s="3" t="n"/>
      <c r="H16" s="3" t="n"/>
      <c r="I16" s="3" t="n"/>
      <c r="J16" s="23">
        <f>IF(AND(ISNUMBER(F16),F16&gt;0,ISNUMBER(I16)),I16/F16,"")</f>
        <v/>
      </c>
      <c r="K16" s="3" t="n"/>
      <c r="L16" s="3" t="n"/>
      <c r="M16" s="3" t="inlineStr"/>
      <c r="O16" s="6" t="inlineStr">
        <is>
          <t>2027-S03</t>
        </is>
      </c>
      <c r="P16" s="6">
        <f>IF(COUNTIFS($A$2:$A$64,$O16,$D$2:$D$64,"LinkedIn page",$H$2:$H$64,"&lt;&gt;")=0,NA(),SUMIFS($H$2:$H$64,$A$2:$A$64,$O16,$D$2:$D$64,"LinkedIn page"))</f>
        <v/>
      </c>
      <c r="Q16" s="6">
        <f>IF(COUNTIFS($A$2:$A$64,$O16,$D$2:$D$64,"LinkedIn profils fondateurs",$H$2:$H$64,"&lt;&gt;")=0,NA(),SUMIFS($H$2:$H$64,$A$2:$A$64,$O16,$D$2:$D$64,"LinkedIn profils fondateurs"))</f>
        <v/>
      </c>
      <c r="R16" s="6">
        <f>IF(COUNTIFS($A$2:$A$64,$O16,$D$2:$D$64,"Instagram",$H$2:$H$64,"&lt;&gt;")=0,NA(),SUMIFS($H$2:$H$64,$A$2:$A$64,$O16,$D$2:$D$64,"Instagram"))</f>
        <v/>
      </c>
      <c r="S16" s="6">
        <f>IF(COUNTIFS($A$2:$A$64,$O16,$D$2:$D$64,"LinkedIn page",$F$2:$F$64,"&lt;&gt;")=0,NA(),SUMIFS($F$2:$F$64,$A$2:$A$64,$O16,$D$2:$D$64,"LinkedIn page"))</f>
        <v/>
      </c>
      <c r="T16" s="6">
        <f>IF(COUNTIFS($A$2:$A$64,$O16,$D$2:$D$64,"LinkedIn profils fondateurs",$F$2:$F$64,"&lt;&gt;")=0,NA(),SUMIFS($F$2:$F$64,$A$2:$A$64,$O16,$D$2:$D$64,"LinkedIn profils fondateurs"))</f>
        <v/>
      </c>
      <c r="U16" s="6">
        <f>IF(COUNTIFS($A$2:$A$64,$O16,$D$2:$D$64,"Instagram",$F$2:$F$64,"&lt;&gt;")=0,NA(),SUMIFS($F$2:$F$64,$A$2:$A$64,$O16,$D$2:$D$64,"Instagram"))</f>
        <v/>
      </c>
    </row>
    <row r="17">
      <c r="A17" s="7" t="inlineStr">
        <is>
          <t>2026-S47</t>
        </is>
      </c>
      <c r="B17" s="24" t="n">
        <v>46342</v>
      </c>
      <c r="C17" s="7" t="inlineStr">
        <is>
          <t>suivi</t>
        </is>
      </c>
      <c r="D17" s="7" t="inlineStr">
        <is>
          <t>LinkedIn page</t>
        </is>
      </c>
      <c r="E17" s="7" t="n"/>
      <c r="F17" s="7" t="n"/>
      <c r="G17" s="7" t="n"/>
      <c r="H17" s="7" t="n"/>
      <c r="I17" s="7" t="n"/>
      <c r="J17" s="25">
        <f>IF(AND(ISNUMBER(F17),F17&gt;0,ISNUMBER(I17)),I17/F17,"")</f>
        <v/>
      </c>
      <c r="K17" s="7" t="n"/>
      <c r="L17" s="7" t="n"/>
      <c r="M17" s="7" t="inlineStr"/>
      <c r="O17" s="6" t="inlineStr">
        <is>
          <t>2027-S04</t>
        </is>
      </c>
      <c r="P17" s="6">
        <f>IF(COUNTIFS($A$2:$A$64,$O17,$D$2:$D$64,"LinkedIn page",$H$2:$H$64,"&lt;&gt;")=0,NA(),SUMIFS($H$2:$H$64,$A$2:$A$64,$O17,$D$2:$D$64,"LinkedIn page"))</f>
        <v/>
      </c>
      <c r="Q17" s="6">
        <f>IF(COUNTIFS($A$2:$A$64,$O17,$D$2:$D$64,"LinkedIn profils fondateurs",$H$2:$H$64,"&lt;&gt;")=0,NA(),SUMIFS($H$2:$H$64,$A$2:$A$64,$O17,$D$2:$D$64,"LinkedIn profils fondateurs"))</f>
        <v/>
      </c>
      <c r="R17" s="6">
        <f>IF(COUNTIFS($A$2:$A$64,$O17,$D$2:$D$64,"Instagram",$H$2:$H$64,"&lt;&gt;")=0,NA(),SUMIFS($H$2:$H$64,$A$2:$A$64,$O17,$D$2:$D$64,"Instagram"))</f>
        <v/>
      </c>
      <c r="S17" s="6">
        <f>IF(COUNTIFS($A$2:$A$64,$O17,$D$2:$D$64,"LinkedIn page",$F$2:$F$64,"&lt;&gt;")=0,NA(),SUMIFS($F$2:$F$64,$A$2:$A$64,$O17,$D$2:$D$64,"LinkedIn page"))</f>
        <v/>
      </c>
      <c r="T17" s="6">
        <f>IF(COUNTIFS($A$2:$A$64,$O17,$D$2:$D$64,"LinkedIn profils fondateurs",$F$2:$F$64,"&lt;&gt;")=0,NA(),SUMIFS($F$2:$F$64,$A$2:$A$64,$O17,$D$2:$D$64,"LinkedIn profils fondateurs"))</f>
        <v/>
      </c>
      <c r="U17" s="6">
        <f>IF(COUNTIFS($A$2:$A$64,$O17,$D$2:$D$64,"Instagram",$F$2:$F$64,"&lt;&gt;")=0,NA(),SUMIFS($F$2:$F$64,$A$2:$A$64,$O17,$D$2:$D$64,"Instagram"))</f>
        <v/>
      </c>
    </row>
    <row r="18">
      <c r="A18" s="7" t="inlineStr">
        <is>
          <t>2026-S47</t>
        </is>
      </c>
      <c r="B18" s="24" t="n">
        <v>46342</v>
      </c>
      <c r="C18" s="7" t="inlineStr">
        <is>
          <t>suivi</t>
        </is>
      </c>
      <c r="D18" s="7" t="inlineStr">
        <is>
          <t>LinkedIn profils fondateurs</t>
        </is>
      </c>
      <c r="E18" s="7" t="n"/>
      <c r="F18" s="7" t="n"/>
      <c r="G18" s="7" t="n"/>
      <c r="H18" s="7" t="n"/>
      <c r="I18" s="7" t="n"/>
      <c r="J18" s="25">
        <f>IF(AND(ISNUMBER(F18),F18&gt;0,ISNUMBER(I18)),I18/F18,"")</f>
        <v/>
      </c>
      <c r="K18" s="7" t="n"/>
      <c r="L18" s="7" t="n"/>
      <c r="M18" s="7" t="inlineStr"/>
      <c r="O18" s="6" t="inlineStr">
        <is>
          <t>2027-S05</t>
        </is>
      </c>
      <c r="P18" s="6">
        <f>IF(COUNTIFS($A$2:$A$64,$O18,$D$2:$D$64,"LinkedIn page",$H$2:$H$64,"&lt;&gt;")=0,NA(),SUMIFS($H$2:$H$64,$A$2:$A$64,$O18,$D$2:$D$64,"LinkedIn page"))</f>
        <v/>
      </c>
      <c r="Q18" s="6">
        <f>IF(COUNTIFS($A$2:$A$64,$O18,$D$2:$D$64,"LinkedIn profils fondateurs",$H$2:$H$64,"&lt;&gt;")=0,NA(),SUMIFS($H$2:$H$64,$A$2:$A$64,$O18,$D$2:$D$64,"LinkedIn profils fondateurs"))</f>
        <v/>
      </c>
      <c r="R18" s="6">
        <f>IF(COUNTIFS($A$2:$A$64,$O18,$D$2:$D$64,"Instagram",$H$2:$H$64,"&lt;&gt;")=0,NA(),SUMIFS($H$2:$H$64,$A$2:$A$64,$O18,$D$2:$D$64,"Instagram"))</f>
        <v/>
      </c>
      <c r="S18" s="6">
        <f>IF(COUNTIFS($A$2:$A$64,$O18,$D$2:$D$64,"LinkedIn page",$F$2:$F$64,"&lt;&gt;")=0,NA(),SUMIFS($F$2:$F$64,$A$2:$A$64,$O18,$D$2:$D$64,"LinkedIn page"))</f>
        <v/>
      </c>
      <c r="T18" s="6">
        <f>IF(COUNTIFS($A$2:$A$64,$O18,$D$2:$D$64,"LinkedIn profils fondateurs",$F$2:$F$64,"&lt;&gt;")=0,NA(),SUMIFS($F$2:$F$64,$A$2:$A$64,$O18,$D$2:$D$64,"LinkedIn profils fondateurs"))</f>
        <v/>
      </c>
      <c r="U18" s="6">
        <f>IF(COUNTIFS($A$2:$A$64,$O18,$D$2:$D$64,"Instagram",$F$2:$F$64,"&lt;&gt;")=0,NA(),SUMIFS($F$2:$F$64,$A$2:$A$64,$O18,$D$2:$D$64,"Instagram"))</f>
        <v/>
      </c>
    </row>
    <row r="19">
      <c r="A19" s="7" t="inlineStr">
        <is>
          <t>2026-S47</t>
        </is>
      </c>
      <c r="B19" s="24" t="n">
        <v>46342</v>
      </c>
      <c r="C19" s="7" t="inlineStr">
        <is>
          <t>suivi</t>
        </is>
      </c>
      <c r="D19" s="7" t="inlineStr">
        <is>
          <t>Instagram</t>
        </is>
      </c>
      <c r="E19" s="7" t="n"/>
      <c r="F19" s="7" t="n"/>
      <c r="G19" s="7" t="n"/>
      <c r="H19" s="7" t="n"/>
      <c r="I19" s="7" t="n"/>
      <c r="J19" s="25">
        <f>IF(AND(ISNUMBER(F19),F19&gt;0,ISNUMBER(I19)),I19/F19,"")</f>
        <v/>
      </c>
      <c r="K19" s="7" t="n"/>
      <c r="L19" s="7" t="n"/>
      <c r="M19" s="7" t="inlineStr"/>
      <c r="O19" s="6" t="inlineStr">
        <is>
          <t>2027-S06</t>
        </is>
      </c>
      <c r="P19" s="6">
        <f>IF(COUNTIFS($A$2:$A$64,$O19,$D$2:$D$64,"LinkedIn page",$H$2:$H$64,"&lt;&gt;")=0,NA(),SUMIFS($H$2:$H$64,$A$2:$A$64,$O19,$D$2:$D$64,"LinkedIn page"))</f>
        <v/>
      </c>
      <c r="Q19" s="6">
        <f>IF(COUNTIFS($A$2:$A$64,$O19,$D$2:$D$64,"LinkedIn profils fondateurs",$H$2:$H$64,"&lt;&gt;")=0,NA(),SUMIFS($H$2:$H$64,$A$2:$A$64,$O19,$D$2:$D$64,"LinkedIn profils fondateurs"))</f>
        <v/>
      </c>
      <c r="R19" s="6">
        <f>IF(COUNTIFS($A$2:$A$64,$O19,$D$2:$D$64,"Instagram",$H$2:$H$64,"&lt;&gt;")=0,NA(),SUMIFS($H$2:$H$64,$A$2:$A$64,$O19,$D$2:$D$64,"Instagram"))</f>
        <v/>
      </c>
      <c r="S19" s="6">
        <f>IF(COUNTIFS($A$2:$A$64,$O19,$D$2:$D$64,"LinkedIn page",$F$2:$F$64,"&lt;&gt;")=0,NA(),SUMIFS($F$2:$F$64,$A$2:$A$64,$O19,$D$2:$D$64,"LinkedIn page"))</f>
        <v/>
      </c>
      <c r="T19" s="6">
        <f>IF(COUNTIFS($A$2:$A$64,$O19,$D$2:$D$64,"LinkedIn profils fondateurs",$F$2:$F$64,"&lt;&gt;")=0,NA(),SUMIFS($F$2:$F$64,$A$2:$A$64,$O19,$D$2:$D$64,"LinkedIn profils fondateurs"))</f>
        <v/>
      </c>
      <c r="U19" s="6">
        <f>IF(COUNTIFS($A$2:$A$64,$O19,$D$2:$D$64,"Instagram",$F$2:$F$64,"&lt;&gt;")=0,NA(),SUMIFS($F$2:$F$64,$A$2:$A$64,$O19,$D$2:$D$64,"Instagram"))</f>
        <v/>
      </c>
    </row>
    <row r="20">
      <c r="A20" s="3" t="inlineStr">
        <is>
          <t>2026-S48</t>
        </is>
      </c>
      <c r="B20" s="22" t="n">
        <v>46349</v>
      </c>
      <c r="C20" s="3" t="inlineStr">
        <is>
          <t>suivi</t>
        </is>
      </c>
      <c r="D20" s="3" t="inlineStr">
        <is>
          <t>LinkedIn page</t>
        </is>
      </c>
      <c r="E20" s="3" t="n"/>
      <c r="F20" s="3" t="n"/>
      <c r="G20" s="3" t="n"/>
      <c r="H20" s="3" t="n"/>
      <c r="I20" s="3" t="n"/>
      <c r="J20" s="23">
        <f>IF(AND(ISNUMBER(F20),F20&gt;0,ISNUMBER(I20)),I20/F20,"")</f>
        <v/>
      </c>
      <c r="K20" s="3" t="n"/>
      <c r="L20" s="3" t="n"/>
      <c r="M20" s="3" t="inlineStr"/>
      <c r="O20" s="6" t="inlineStr">
        <is>
          <t>2027-S07</t>
        </is>
      </c>
      <c r="P20" s="6">
        <f>IF(COUNTIFS($A$2:$A$64,$O20,$D$2:$D$64,"LinkedIn page",$H$2:$H$64,"&lt;&gt;")=0,NA(),SUMIFS($H$2:$H$64,$A$2:$A$64,$O20,$D$2:$D$64,"LinkedIn page"))</f>
        <v/>
      </c>
      <c r="Q20" s="6">
        <f>IF(COUNTIFS($A$2:$A$64,$O20,$D$2:$D$64,"LinkedIn profils fondateurs",$H$2:$H$64,"&lt;&gt;")=0,NA(),SUMIFS($H$2:$H$64,$A$2:$A$64,$O20,$D$2:$D$64,"LinkedIn profils fondateurs"))</f>
        <v/>
      </c>
      <c r="R20" s="6">
        <f>IF(COUNTIFS($A$2:$A$64,$O20,$D$2:$D$64,"Instagram",$H$2:$H$64,"&lt;&gt;")=0,NA(),SUMIFS($H$2:$H$64,$A$2:$A$64,$O20,$D$2:$D$64,"Instagram"))</f>
        <v/>
      </c>
      <c r="S20" s="6">
        <f>IF(COUNTIFS($A$2:$A$64,$O20,$D$2:$D$64,"LinkedIn page",$F$2:$F$64,"&lt;&gt;")=0,NA(),SUMIFS($F$2:$F$64,$A$2:$A$64,$O20,$D$2:$D$64,"LinkedIn page"))</f>
        <v/>
      </c>
      <c r="T20" s="6">
        <f>IF(COUNTIFS($A$2:$A$64,$O20,$D$2:$D$64,"LinkedIn profils fondateurs",$F$2:$F$64,"&lt;&gt;")=0,NA(),SUMIFS($F$2:$F$64,$A$2:$A$64,$O20,$D$2:$D$64,"LinkedIn profils fondateurs"))</f>
        <v/>
      </c>
      <c r="U20" s="6">
        <f>IF(COUNTIFS($A$2:$A$64,$O20,$D$2:$D$64,"Instagram",$F$2:$F$64,"&lt;&gt;")=0,NA(),SUMIFS($F$2:$F$64,$A$2:$A$64,$O20,$D$2:$D$64,"Instagram"))</f>
        <v/>
      </c>
    </row>
    <row r="21">
      <c r="A21" s="3" t="inlineStr">
        <is>
          <t>2026-S48</t>
        </is>
      </c>
      <c r="B21" s="22" t="n">
        <v>46349</v>
      </c>
      <c r="C21" s="3" t="inlineStr">
        <is>
          <t>suivi</t>
        </is>
      </c>
      <c r="D21" s="3" t="inlineStr">
        <is>
          <t>LinkedIn profils fondateurs</t>
        </is>
      </c>
      <c r="E21" s="3" t="n"/>
      <c r="F21" s="3" t="n"/>
      <c r="G21" s="3" t="n"/>
      <c r="H21" s="3" t="n"/>
      <c r="I21" s="3" t="n"/>
      <c r="J21" s="23">
        <f>IF(AND(ISNUMBER(F21),F21&gt;0,ISNUMBER(I21)),I21/F21,"")</f>
        <v/>
      </c>
      <c r="K21" s="3" t="n"/>
      <c r="L21" s="3" t="n"/>
      <c r="M21" s="3" t="inlineStr"/>
      <c r="O21" s="6" t="inlineStr">
        <is>
          <t>2027-S08</t>
        </is>
      </c>
      <c r="P21" s="6">
        <f>IF(COUNTIFS($A$2:$A$64,$O21,$D$2:$D$64,"LinkedIn page",$H$2:$H$64,"&lt;&gt;")=0,NA(),SUMIFS($H$2:$H$64,$A$2:$A$64,$O21,$D$2:$D$64,"LinkedIn page"))</f>
        <v/>
      </c>
      <c r="Q21" s="6">
        <f>IF(COUNTIFS($A$2:$A$64,$O21,$D$2:$D$64,"LinkedIn profils fondateurs",$H$2:$H$64,"&lt;&gt;")=0,NA(),SUMIFS($H$2:$H$64,$A$2:$A$64,$O21,$D$2:$D$64,"LinkedIn profils fondateurs"))</f>
        <v/>
      </c>
      <c r="R21" s="6">
        <f>IF(COUNTIFS($A$2:$A$64,$O21,$D$2:$D$64,"Instagram",$H$2:$H$64,"&lt;&gt;")=0,NA(),SUMIFS($H$2:$H$64,$A$2:$A$64,$O21,$D$2:$D$64,"Instagram"))</f>
        <v/>
      </c>
      <c r="S21" s="6">
        <f>IF(COUNTIFS($A$2:$A$64,$O21,$D$2:$D$64,"LinkedIn page",$F$2:$F$64,"&lt;&gt;")=0,NA(),SUMIFS($F$2:$F$64,$A$2:$A$64,$O21,$D$2:$D$64,"LinkedIn page"))</f>
        <v/>
      </c>
      <c r="T21" s="6">
        <f>IF(COUNTIFS($A$2:$A$64,$O21,$D$2:$D$64,"LinkedIn profils fondateurs",$F$2:$F$64,"&lt;&gt;")=0,NA(),SUMIFS($F$2:$F$64,$A$2:$A$64,$O21,$D$2:$D$64,"LinkedIn profils fondateurs"))</f>
        <v/>
      </c>
      <c r="U21" s="6">
        <f>IF(COUNTIFS($A$2:$A$64,$O21,$D$2:$D$64,"Instagram",$F$2:$F$64,"&lt;&gt;")=0,NA(),SUMIFS($F$2:$F$64,$A$2:$A$64,$O21,$D$2:$D$64,"Instagram"))</f>
        <v/>
      </c>
    </row>
    <row r="22">
      <c r="A22" s="3" t="inlineStr">
        <is>
          <t>2026-S48</t>
        </is>
      </c>
      <c r="B22" s="22" t="n">
        <v>46349</v>
      </c>
      <c r="C22" s="3" t="inlineStr">
        <is>
          <t>suivi</t>
        </is>
      </c>
      <c r="D22" s="3" t="inlineStr">
        <is>
          <t>Instagram</t>
        </is>
      </c>
      <c r="E22" s="3" t="n"/>
      <c r="F22" s="3" t="n"/>
      <c r="G22" s="3" t="n"/>
      <c r="H22" s="3" t="n"/>
      <c r="I22" s="3" t="n"/>
      <c r="J22" s="23">
        <f>IF(AND(ISNUMBER(F22),F22&gt;0,ISNUMBER(I22)),I22/F22,"")</f>
        <v/>
      </c>
      <c r="K22" s="3" t="n"/>
      <c r="L22" s="3" t="n"/>
      <c r="M22" s="3" t="inlineStr"/>
      <c r="O22" s="6" t="inlineStr">
        <is>
          <t>2027-S09</t>
        </is>
      </c>
      <c r="P22" s="6">
        <f>IF(COUNTIFS($A$2:$A$64,$O22,$D$2:$D$64,"LinkedIn page",$H$2:$H$64,"&lt;&gt;")=0,NA(),SUMIFS($H$2:$H$64,$A$2:$A$64,$O22,$D$2:$D$64,"LinkedIn page"))</f>
        <v/>
      </c>
      <c r="Q22" s="6">
        <f>IF(COUNTIFS($A$2:$A$64,$O22,$D$2:$D$64,"LinkedIn profils fondateurs",$H$2:$H$64,"&lt;&gt;")=0,NA(),SUMIFS($H$2:$H$64,$A$2:$A$64,$O22,$D$2:$D$64,"LinkedIn profils fondateurs"))</f>
        <v/>
      </c>
      <c r="R22" s="6">
        <f>IF(COUNTIFS($A$2:$A$64,$O22,$D$2:$D$64,"Instagram",$H$2:$H$64,"&lt;&gt;")=0,NA(),SUMIFS($H$2:$H$64,$A$2:$A$64,$O22,$D$2:$D$64,"Instagram"))</f>
        <v/>
      </c>
      <c r="S22" s="6">
        <f>IF(COUNTIFS($A$2:$A$64,$O22,$D$2:$D$64,"LinkedIn page",$F$2:$F$64,"&lt;&gt;")=0,NA(),SUMIFS($F$2:$F$64,$A$2:$A$64,$O22,$D$2:$D$64,"LinkedIn page"))</f>
        <v/>
      </c>
      <c r="T22" s="6">
        <f>IF(COUNTIFS($A$2:$A$64,$O22,$D$2:$D$64,"LinkedIn profils fondateurs",$F$2:$F$64,"&lt;&gt;")=0,NA(),SUMIFS($F$2:$F$64,$A$2:$A$64,$O22,$D$2:$D$64,"LinkedIn profils fondateurs"))</f>
        <v/>
      </c>
      <c r="U22" s="6">
        <f>IF(COUNTIFS($A$2:$A$64,$O22,$D$2:$D$64,"Instagram",$F$2:$F$64,"&lt;&gt;")=0,NA(),SUMIFS($F$2:$F$64,$A$2:$A$64,$O22,$D$2:$D$64,"Instagram"))</f>
        <v/>
      </c>
    </row>
    <row r="23">
      <c r="A23" s="7" t="inlineStr">
        <is>
          <t>2026-S49</t>
        </is>
      </c>
      <c r="B23" s="24" t="n">
        <v>46356</v>
      </c>
      <c r="C23" s="7" t="inlineStr">
        <is>
          <t>suivi</t>
        </is>
      </c>
      <c r="D23" s="7" t="inlineStr">
        <is>
          <t>LinkedIn page</t>
        </is>
      </c>
      <c r="E23" s="7" t="n"/>
      <c r="F23" s="7" t="n"/>
      <c r="G23" s="7" t="n"/>
      <c r="H23" s="7" t="n"/>
      <c r="I23" s="7" t="n"/>
      <c r="J23" s="25">
        <f>IF(AND(ISNUMBER(F23),F23&gt;0,ISNUMBER(I23)),I23/F23,"")</f>
        <v/>
      </c>
      <c r="K23" s="7" t="n"/>
      <c r="L23" s="7" t="n"/>
      <c r="M23" s="7" t="inlineStr"/>
    </row>
    <row r="24">
      <c r="A24" s="7" t="inlineStr">
        <is>
          <t>2026-S49</t>
        </is>
      </c>
      <c r="B24" s="24" t="n">
        <v>46356</v>
      </c>
      <c r="C24" s="7" t="inlineStr">
        <is>
          <t>suivi</t>
        </is>
      </c>
      <c r="D24" s="7" t="inlineStr">
        <is>
          <t>LinkedIn profils fondateurs</t>
        </is>
      </c>
      <c r="E24" s="7" t="n"/>
      <c r="F24" s="7" t="n"/>
      <c r="G24" s="7" t="n"/>
      <c r="H24" s="7" t="n"/>
      <c r="I24" s="7" t="n"/>
      <c r="J24" s="25">
        <f>IF(AND(ISNUMBER(F24),F24&gt;0,ISNUMBER(I24)),I24/F24,"")</f>
        <v/>
      </c>
      <c r="K24" s="7" t="n"/>
      <c r="L24" s="7" t="n"/>
      <c r="M24" s="7" t="inlineStr"/>
      <c r="O24" s="10" t="inlineStr">
        <is>
          <t>Bloc de calcul des graphiques : #N/A = semaine non saisie (volontaire, le graphique ne trace pas le point).</t>
        </is>
      </c>
    </row>
    <row r="25">
      <c r="A25" s="7" t="inlineStr">
        <is>
          <t>2026-S49</t>
        </is>
      </c>
      <c r="B25" s="24" t="n">
        <v>46356</v>
      </c>
      <c r="C25" s="7" t="inlineStr">
        <is>
          <t>suivi</t>
        </is>
      </c>
      <c r="D25" s="7" t="inlineStr">
        <is>
          <t>Instagram</t>
        </is>
      </c>
      <c r="E25" s="7" t="n"/>
      <c r="F25" s="7" t="n"/>
      <c r="G25" s="7" t="n"/>
      <c r="H25" s="7" t="n"/>
      <c r="I25" s="7" t="n"/>
      <c r="J25" s="25">
        <f>IF(AND(ISNUMBER(F25),F25&gt;0,ISNUMBER(I25)),I25/F25,"")</f>
        <v/>
      </c>
      <c r="K25" s="7" t="n"/>
      <c r="L25" s="7" t="n"/>
      <c r="M25" s="7" t="inlineStr"/>
    </row>
    <row r="26">
      <c r="A26" s="3" t="inlineStr">
        <is>
          <t>2026-S50</t>
        </is>
      </c>
      <c r="B26" s="22" t="n">
        <v>46363</v>
      </c>
      <c r="C26" s="3" t="inlineStr">
        <is>
          <t>suivi</t>
        </is>
      </c>
      <c r="D26" s="3" t="inlineStr">
        <is>
          <t>LinkedIn page</t>
        </is>
      </c>
      <c r="E26" s="3" t="n"/>
      <c r="F26" s="3" t="n"/>
      <c r="G26" s="3" t="n"/>
      <c r="H26" s="3" t="n"/>
      <c r="I26" s="3" t="n"/>
      <c r="J26" s="23">
        <f>IF(AND(ISNUMBER(F26),F26&gt;0,ISNUMBER(I26)),I26/F26,"")</f>
        <v/>
      </c>
      <c r="K26" s="3" t="n"/>
      <c r="L26" s="3" t="n"/>
      <c r="M26" s="3" t="inlineStr"/>
    </row>
    <row r="27">
      <c r="A27" s="3" t="inlineStr">
        <is>
          <t>2026-S50</t>
        </is>
      </c>
      <c r="B27" s="22" t="n">
        <v>46363</v>
      </c>
      <c r="C27" s="3" t="inlineStr">
        <is>
          <t>suivi</t>
        </is>
      </c>
      <c r="D27" s="3" t="inlineStr">
        <is>
          <t>LinkedIn profils fondateurs</t>
        </is>
      </c>
      <c r="E27" s="3" t="n"/>
      <c r="F27" s="3" t="n"/>
      <c r="G27" s="3" t="n"/>
      <c r="H27" s="3" t="n"/>
      <c r="I27" s="3" t="n"/>
      <c r="J27" s="23">
        <f>IF(AND(ISNUMBER(F27),F27&gt;0,ISNUMBER(I27)),I27/F27,"")</f>
        <v/>
      </c>
      <c r="K27" s="3" t="n"/>
      <c r="L27" s="3" t="n"/>
      <c r="M27" s="3" t="inlineStr"/>
    </row>
    <row r="28">
      <c r="A28" s="3" t="inlineStr">
        <is>
          <t>2026-S50</t>
        </is>
      </c>
      <c r="B28" s="22" t="n">
        <v>46363</v>
      </c>
      <c r="C28" s="3" t="inlineStr">
        <is>
          <t>suivi</t>
        </is>
      </c>
      <c r="D28" s="3" t="inlineStr">
        <is>
          <t>Instagram</t>
        </is>
      </c>
      <c r="E28" s="3" t="n"/>
      <c r="F28" s="3" t="n"/>
      <c r="G28" s="3" t="n"/>
      <c r="H28" s="3" t="n"/>
      <c r="I28" s="3" t="n"/>
      <c r="J28" s="23">
        <f>IF(AND(ISNUMBER(F28),F28&gt;0,ISNUMBER(I28)),I28/F28,"")</f>
        <v/>
      </c>
      <c r="K28" s="3" t="n"/>
      <c r="L28" s="3" t="n"/>
      <c r="M28" s="3" t="inlineStr"/>
    </row>
    <row r="29">
      <c r="A29" s="7" t="inlineStr">
        <is>
          <t>2026-S51</t>
        </is>
      </c>
      <c r="B29" s="24" t="n">
        <v>46370</v>
      </c>
      <c r="C29" s="7" t="inlineStr">
        <is>
          <t>suivi</t>
        </is>
      </c>
      <c r="D29" s="7" t="inlineStr">
        <is>
          <t>LinkedIn page</t>
        </is>
      </c>
      <c r="E29" s="7" t="n"/>
      <c r="F29" s="7" t="n"/>
      <c r="G29" s="7" t="n"/>
      <c r="H29" s="7" t="n"/>
      <c r="I29" s="7" t="n"/>
      <c r="J29" s="25">
        <f>IF(AND(ISNUMBER(F29),F29&gt;0,ISNUMBER(I29)),I29/F29,"")</f>
        <v/>
      </c>
      <c r="K29" s="7" t="n"/>
      <c r="L29" s="7" t="n"/>
      <c r="M29" s="7" t="inlineStr"/>
    </row>
    <row r="30">
      <c r="A30" s="7" t="inlineStr">
        <is>
          <t>2026-S51</t>
        </is>
      </c>
      <c r="B30" s="24" t="n">
        <v>46370</v>
      </c>
      <c r="C30" s="7" t="inlineStr">
        <is>
          <t>suivi</t>
        </is>
      </c>
      <c r="D30" s="7" t="inlineStr">
        <is>
          <t>LinkedIn profils fondateurs</t>
        </is>
      </c>
      <c r="E30" s="7" t="n"/>
      <c r="F30" s="7" t="n"/>
      <c r="G30" s="7" t="n"/>
      <c r="H30" s="7" t="n"/>
      <c r="I30" s="7" t="n"/>
      <c r="J30" s="25">
        <f>IF(AND(ISNUMBER(F30),F30&gt;0,ISNUMBER(I30)),I30/F30,"")</f>
        <v/>
      </c>
      <c r="K30" s="7" t="n"/>
      <c r="L30" s="7" t="n"/>
      <c r="M30" s="7" t="inlineStr"/>
    </row>
    <row r="31">
      <c r="A31" s="7" t="inlineStr">
        <is>
          <t>2026-S51</t>
        </is>
      </c>
      <c r="B31" s="24" t="n">
        <v>46370</v>
      </c>
      <c r="C31" s="7" t="inlineStr">
        <is>
          <t>suivi</t>
        </is>
      </c>
      <c r="D31" s="7" t="inlineStr">
        <is>
          <t>Instagram</t>
        </is>
      </c>
      <c r="E31" s="7" t="n"/>
      <c r="F31" s="7" t="n"/>
      <c r="G31" s="7" t="n"/>
      <c r="H31" s="7" t="n"/>
      <c r="I31" s="7" t="n"/>
      <c r="J31" s="25">
        <f>IF(AND(ISNUMBER(F31),F31&gt;0,ISNUMBER(I31)),I31/F31,"")</f>
        <v/>
      </c>
      <c r="K31" s="7" t="n"/>
      <c r="L31" s="7" t="n"/>
      <c r="M31" s="7" t="inlineStr"/>
    </row>
    <row r="32">
      <c r="A32" s="3" t="inlineStr">
        <is>
          <t>2026-S52</t>
        </is>
      </c>
      <c r="B32" s="22" t="n">
        <v>46377</v>
      </c>
      <c r="C32" s="3" t="inlineStr">
        <is>
          <t>suivi</t>
        </is>
      </c>
      <c r="D32" s="3" t="inlineStr">
        <is>
          <t>LinkedIn page</t>
        </is>
      </c>
      <c r="E32" s="3" t="n"/>
      <c r="F32" s="3" t="n"/>
      <c r="G32" s="3" t="n"/>
      <c r="H32" s="3" t="n"/>
      <c r="I32" s="3" t="n"/>
      <c r="J32" s="23">
        <f>IF(AND(ISNUMBER(F32),F32&gt;0,ISNUMBER(I32)),I32/F32,"")</f>
        <v/>
      </c>
      <c r="K32" s="3" t="n"/>
      <c r="L32" s="3" t="n"/>
      <c r="M32" s="3" t="inlineStr"/>
    </row>
    <row r="33">
      <c r="A33" s="3" t="inlineStr">
        <is>
          <t>2026-S52</t>
        </is>
      </c>
      <c r="B33" s="22" t="n">
        <v>46377</v>
      </c>
      <c r="C33" s="3" t="inlineStr">
        <is>
          <t>suivi</t>
        </is>
      </c>
      <c r="D33" s="3" t="inlineStr">
        <is>
          <t>LinkedIn profils fondateurs</t>
        </is>
      </c>
      <c r="E33" s="3" t="n"/>
      <c r="F33" s="3" t="n"/>
      <c r="G33" s="3" t="n"/>
      <c r="H33" s="3" t="n"/>
      <c r="I33" s="3" t="n"/>
      <c r="J33" s="23">
        <f>IF(AND(ISNUMBER(F33),F33&gt;0,ISNUMBER(I33)),I33/F33,"")</f>
        <v/>
      </c>
      <c r="K33" s="3" t="n"/>
      <c r="L33" s="3" t="n"/>
      <c r="M33" s="3" t="inlineStr"/>
    </row>
    <row r="34">
      <c r="A34" s="3" t="inlineStr">
        <is>
          <t>2026-S52</t>
        </is>
      </c>
      <c r="B34" s="22" t="n">
        <v>46377</v>
      </c>
      <c r="C34" s="3" t="inlineStr">
        <is>
          <t>suivi</t>
        </is>
      </c>
      <c r="D34" s="3" t="inlineStr">
        <is>
          <t>Instagram</t>
        </is>
      </c>
      <c r="E34" s="3" t="n"/>
      <c r="F34" s="3" t="n"/>
      <c r="G34" s="3" t="n"/>
      <c r="H34" s="3" t="n"/>
      <c r="I34" s="3" t="n"/>
      <c r="J34" s="23">
        <f>IF(AND(ISNUMBER(F34),F34&gt;0,ISNUMBER(I34)),I34/F34,"")</f>
        <v/>
      </c>
      <c r="K34" s="3" t="n"/>
      <c r="L34" s="3" t="n"/>
      <c r="M34" s="3" t="inlineStr"/>
    </row>
    <row r="35">
      <c r="A35" s="7" t="inlineStr">
        <is>
          <t>2026-S53</t>
        </is>
      </c>
      <c r="B35" s="24" t="n">
        <v>46384</v>
      </c>
      <c r="C35" s="7" t="inlineStr">
        <is>
          <t>suivi</t>
        </is>
      </c>
      <c r="D35" s="7" t="inlineStr">
        <is>
          <t>LinkedIn page</t>
        </is>
      </c>
      <c r="E35" s="7" t="n"/>
      <c r="F35" s="7" t="n"/>
      <c r="G35" s="7" t="n"/>
      <c r="H35" s="7" t="n"/>
      <c r="I35" s="7" t="n"/>
      <c r="J35" s="25">
        <f>IF(AND(ISNUMBER(F35),F35&gt;0,ISNUMBER(I35)),I35/F35,"")</f>
        <v/>
      </c>
      <c r="K35" s="7" t="n"/>
      <c r="L35" s="7" t="n"/>
      <c r="M35" s="7" t="inlineStr"/>
    </row>
    <row r="36">
      <c r="A36" s="7" t="inlineStr">
        <is>
          <t>2026-S53</t>
        </is>
      </c>
      <c r="B36" s="24" t="n">
        <v>46384</v>
      </c>
      <c r="C36" s="7" t="inlineStr">
        <is>
          <t>suivi</t>
        </is>
      </c>
      <c r="D36" s="7" t="inlineStr">
        <is>
          <t>LinkedIn profils fondateurs</t>
        </is>
      </c>
      <c r="E36" s="7" t="n"/>
      <c r="F36" s="7" t="n"/>
      <c r="G36" s="7" t="n"/>
      <c r="H36" s="7" t="n"/>
      <c r="I36" s="7" t="n"/>
      <c r="J36" s="25">
        <f>IF(AND(ISNUMBER(F36),F36&gt;0,ISNUMBER(I36)),I36/F36,"")</f>
        <v/>
      </c>
      <c r="K36" s="7" t="n"/>
      <c r="L36" s="7" t="n"/>
      <c r="M36" s="7" t="inlineStr"/>
    </row>
    <row r="37">
      <c r="A37" s="7" t="inlineStr">
        <is>
          <t>2026-S53</t>
        </is>
      </c>
      <c r="B37" s="24" t="n">
        <v>46384</v>
      </c>
      <c r="C37" s="7" t="inlineStr">
        <is>
          <t>suivi</t>
        </is>
      </c>
      <c r="D37" s="7" t="inlineStr">
        <is>
          <t>Instagram</t>
        </is>
      </c>
      <c r="E37" s="7" t="n"/>
      <c r="F37" s="7" t="n"/>
      <c r="G37" s="7" t="n"/>
      <c r="H37" s="7" t="n"/>
      <c r="I37" s="7" t="n"/>
      <c r="J37" s="25">
        <f>IF(AND(ISNUMBER(F37),F37&gt;0,ISNUMBER(I37)),I37/F37,"")</f>
        <v/>
      </c>
      <c r="K37" s="7" t="n"/>
      <c r="L37" s="7" t="n"/>
      <c r="M37" s="7" t="inlineStr"/>
    </row>
    <row r="38">
      <c r="A38" s="3" t="inlineStr">
        <is>
          <t>2027-S01</t>
        </is>
      </c>
      <c r="B38" s="22" t="n">
        <v>46391</v>
      </c>
      <c r="C38" s="3" t="inlineStr">
        <is>
          <t>suivi</t>
        </is>
      </c>
      <c r="D38" s="3" t="inlineStr">
        <is>
          <t>LinkedIn page</t>
        </is>
      </c>
      <c r="E38" s="3" t="n"/>
      <c r="F38" s="3" t="n"/>
      <c r="G38" s="3" t="n"/>
      <c r="H38" s="3" t="n"/>
      <c r="I38" s="3" t="n"/>
      <c r="J38" s="23">
        <f>IF(AND(ISNUMBER(F38),F38&gt;0,ISNUMBER(I38)),I38/F38,"")</f>
        <v/>
      </c>
      <c r="K38" s="3" t="n"/>
      <c r="L38" s="3" t="n"/>
      <c r="M38" s="3" t="inlineStr"/>
    </row>
    <row r="39">
      <c r="A39" s="3" t="inlineStr">
        <is>
          <t>2027-S01</t>
        </is>
      </c>
      <c r="B39" s="22" t="n">
        <v>46391</v>
      </c>
      <c r="C39" s="3" t="inlineStr">
        <is>
          <t>suivi</t>
        </is>
      </c>
      <c r="D39" s="3" t="inlineStr">
        <is>
          <t>LinkedIn profils fondateurs</t>
        </is>
      </c>
      <c r="E39" s="3" t="n"/>
      <c r="F39" s="3" t="n"/>
      <c r="G39" s="3" t="n"/>
      <c r="H39" s="3" t="n"/>
      <c r="I39" s="3" t="n"/>
      <c r="J39" s="23">
        <f>IF(AND(ISNUMBER(F39),F39&gt;0,ISNUMBER(I39)),I39/F39,"")</f>
        <v/>
      </c>
      <c r="K39" s="3" t="n"/>
      <c r="L39" s="3" t="n"/>
      <c r="M39" s="3" t="inlineStr"/>
    </row>
    <row r="40">
      <c r="A40" s="3" t="inlineStr">
        <is>
          <t>2027-S01</t>
        </is>
      </c>
      <c r="B40" s="22" t="n">
        <v>46391</v>
      </c>
      <c r="C40" s="3" t="inlineStr">
        <is>
          <t>suivi</t>
        </is>
      </c>
      <c r="D40" s="3" t="inlineStr">
        <is>
          <t>Instagram</t>
        </is>
      </c>
      <c r="E40" s="3" t="n"/>
      <c r="F40" s="3" t="n"/>
      <c r="G40" s="3" t="n"/>
      <c r="H40" s="3" t="n"/>
      <c r="I40" s="3" t="n"/>
      <c r="J40" s="23">
        <f>IF(AND(ISNUMBER(F40),F40&gt;0,ISNUMBER(I40)),I40/F40,"")</f>
        <v/>
      </c>
      <c r="K40" s="3" t="n"/>
      <c r="L40" s="3" t="n"/>
      <c r="M40" s="3" t="inlineStr"/>
    </row>
    <row r="41">
      <c r="A41" s="7" t="inlineStr">
        <is>
          <t>2027-S02</t>
        </is>
      </c>
      <c r="B41" s="24" t="n">
        <v>46398</v>
      </c>
      <c r="C41" s="7" t="inlineStr">
        <is>
          <t>suivi</t>
        </is>
      </c>
      <c r="D41" s="7" t="inlineStr">
        <is>
          <t>LinkedIn page</t>
        </is>
      </c>
      <c r="E41" s="7" t="n"/>
      <c r="F41" s="7" t="n"/>
      <c r="G41" s="7" t="n"/>
      <c r="H41" s="7" t="n"/>
      <c r="I41" s="7" t="n"/>
      <c r="J41" s="25">
        <f>IF(AND(ISNUMBER(F41),F41&gt;0,ISNUMBER(I41)),I41/F41,"")</f>
        <v/>
      </c>
      <c r="K41" s="7" t="n"/>
      <c r="L41" s="7" t="n"/>
      <c r="M41" s="7" t="inlineStr"/>
    </row>
    <row r="42">
      <c r="A42" s="7" t="inlineStr">
        <is>
          <t>2027-S02</t>
        </is>
      </c>
      <c r="B42" s="24" t="n">
        <v>46398</v>
      </c>
      <c r="C42" s="7" t="inlineStr">
        <is>
          <t>suivi</t>
        </is>
      </c>
      <c r="D42" s="7" t="inlineStr">
        <is>
          <t>LinkedIn profils fondateurs</t>
        </is>
      </c>
      <c r="E42" s="7" t="n"/>
      <c r="F42" s="7" t="n"/>
      <c r="G42" s="7" t="n"/>
      <c r="H42" s="7" t="n"/>
      <c r="I42" s="7" t="n"/>
      <c r="J42" s="25">
        <f>IF(AND(ISNUMBER(F42),F42&gt;0,ISNUMBER(I42)),I42/F42,"")</f>
        <v/>
      </c>
      <c r="K42" s="7" t="n"/>
      <c r="L42" s="7" t="n"/>
      <c r="M42" s="7" t="inlineStr"/>
    </row>
    <row r="43">
      <c r="A43" s="7" t="inlineStr">
        <is>
          <t>2027-S02</t>
        </is>
      </c>
      <c r="B43" s="24" t="n">
        <v>46398</v>
      </c>
      <c r="C43" s="7" t="inlineStr">
        <is>
          <t>suivi</t>
        </is>
      </c>
      <c r="D43" s="7" t="inlineStr">
        <is>
          <t>Instagram</t>
        </is>
      </c>
      <c r="E43" s="7" t="n"/>
      <c r="F43" s="7" t="n"/>
      <c r="G43" s="7" t="n"/>
      <c r="H43" s="7" t="n"/>
      <c r="I43" s="7" t="n"/>
      <c r="J43" s="25">
        <f>IF(AND(ISNUMBER(F43),F43&gt;0,ISNUMBER(I43)),I43/F43,"")</f>
        <v/>
      </c>
      <c r="K43" s="7" t="n"/>
      <c r="L43" s="7" t="n"/>
      <c r="M43" s="7" t="inlineStr"/>
    </row>
    <row r="44">
      <c r="A44" s="3" t="inlineStr">
        <is>
          <t>2027-S03</t>
        </is>
      </c>
      <c r="B44" s="22" t="n">
        <v>46405</v>
      </c>
      <c r="C44" s="3" t="inlineStr">
        <is>
          <t>suivi</t>
        </is>
      </c>
      <c r="D44" s="3" t="inlineStr">
        <is>
          <t>LinkedIn page</t>
        </is>
      </c>
      <c r="E44" s="3" t="n"/>
      <c r="F44" s="3" t="n"/>
      <c r="G44" s="3" t="n"/>
      <c r="H44" s="3" t="n"/>
      <c r="I44" s="3" t="n"/>
      <c r="J44" s="23">
        <f>IF(AND(ISNUMBER(F44),F44&gt;0,ISNUMBER(I44)),I44/F44,"")</f>
        <v/>
      </c>
      <c r="K44" s="3" t="n"/>
      <c r="L44" s="3" t="n"/>
      <c r="M44" s="3" t="inlineStr"/>
    </row>
    <row r="45">
      <c r="A45" s="3" t="inlineStr">
        <is>
          <t>2027-S03</t>
        </is>
      </c>
      <c r="B45" s="22" t="n">
        <v>46405</v>
      </c>
      <c r="C45" s="3" t="inlineStr">
        <is>
          <t>suivi</t>
        </is>
      </c>
      <c r="D45" s="3" t="inlineStr">
        <is>
          <t>LinkedIn profils fondateurs</t>
        </is>
      </c>
      <c r="E45" s="3" t="n"/>
      <c r="F45" s="3" t="n"/>
      <c r="G45" s="3" t="n"/>
      <c r="H45" s="3" t="n"/>
      <c r="I45" s="3" t="n"/>
      <c r="J45" s="23">
        <f>IF(AND(ISNUMBER(F45),F45&gt;0,ISNUMBER(I45)),I45/F45,"")</f>
        <v/>
      </c>
      <c r="K45" s="3" t="n"/>
      <c r="L45" s="3" t="n"/>
      <c r="M45" s="3" t="inlineStr"/>
    </row>
    <row r="46">
      <c r="A46" s="3" t="inlineStr">
        <is>
          <t>2027-S03</t>
        </is>
      </c>
      <c r="B46" s="22" t="n">
        <v>46405</v>
      </c>
      <c r="C46" s="3" t="inlineStr">
        <is>
          <t>suivi</t>
        </is>
      </c>
      <c r="D46" s="3" t="inlineStr">
        <is>
          <t>Instagram</t>
        </is>
      </c>
      <c r="E46" s="3" t="n"/>
      <c r="F46" s="3" t="n"/>
      <c r="G46" s="3" t="n"/>
      <c r="H46" s="3" t="n"/>
      <c r="I46" s="3" t="n"/>
      <c r="J46" s="23">
        <f>IF(AND(ISNUMBER(F46),F46&gt;0,ISNUMBER(I46)),I46/F46,"")</f>
        <v/>
      </c>
      <c r="K46" s="3" t="n"/>
      <c r="L46" s="3" t="n"/>
      <c r="M46" s="3" t="inlineStr"/>
    </row>
    <row r="47">
      <c r="A47" s="7" t="inlineStr">
        <is>
          <t>2027-S04</t>
        </is>
      </c>
      <c r="B47" s="24" t="n">
        <v>46412</v>
      </c>
      <c r="C47" s="7" t="inlineStr">
        <is>
          <t>suivi</t>
        </is>
      </c>
      <c r="D47" s="7" t="inlineStr">
        <is>
          <t>LinkedIn page</t>
        </is>
      </c>
      <c r="E47" s="7" t="n"/>
      <c r="F47" s="7" t="n"/>
      <c r="G47" s="7" t="n"/>
      <c r="H47" s="7" t="n"/>
      <c r="I47" s="7" t="n"/>
      <c r="J47" s="25">
        <f>IF(AND(ISNUMBER(F47),F47&gt;0,ISNUMBER(I47)),I47/F47,"")</f>
        <v/>
      </c>
      <c r="K47" s="7" t="n"/>
      <c r="L47" s="7" t="n"/>
      <c r="M47" s="7" t="inlineStr"/>
    </row>
    <row r="48">
      <c r="A48" s="7" t="inlineStr">
        <is>
          <t>2027-S04</t>
        </is>
      </c>
      <c r="B48" s="24" t="n">
        <v>46412</v>
      </c>
      <c r="C48" s="7" t="inlineStr">
        <is>
          <t>suivi</t>
        </is>
      </c>
      <c r="D48" s="7" t="inlineStr">
        <is>
          <t>LinkedIn profils fondateurs</t>
        </is>
      </c>
      <c r="E48" s="7" t="n"/>
      <c r="F48" s="7" t="n"/>
      <c r="G48" s="7" t="n"/>
      <c r="H48" s="7" t="n"/>
      <c r="I48" s="7" t="n"/>
      <c r="J48" s="25">
        <f>IF(AND(ISNUMBER(F48),F48&gt;0,ISNUMBER(I48)),I48/F48,"")</f>
        <v/>
      </c>
      <c r="K48" s="7" t="n"/>
      <c r="L48" s="7" t="n"/>
      <c r="M48" s="7" t="inlineStr"/>
    </row>
    <row r="49">
      <c r="A49" s="7" t="inlineStr">
        <is>
          <t>2027-S04</t>
        </is>
      </c>
      <c r="B49" s="24" t="n">
        <v>46412</v>
      </c>
      <c r="C49" s="7" t="inlineStr">
        <is>
          <t>suivi</t>
        </is>
      </c>
      <c r="D49" s="7" t="inlineStr">
        <is>
          <t>Instagram</t>
        </is>
      </c>
      <c r="E49" s="7" t="n"/>
      <c r="F49" s="7" t="n"/>
      <c r="G49" s="7" t="n"/>
      <c r="H49" s="7" t="n"/>
      <c r="I49" s="7" t="n"/>
      <c r="J49" s="25">
        <f>IF(AND(ISNUMBER(F49),F49&gt;0,ISNUMBER(I49)),I49/F49,"")</f>
        <v/>
      </c>
      <c r="K49" s="7" t="n"/>
      <c r="L49" s="7" t="n"/>
      <c r="M49" s="7" t="inlineStr"/>
    </row>
    <row r="50">
      <c r="A50" s="3" t="inlineStr">
        <is>
          <t>2027-S05</t>
        </is>
      </c>
      <c r="B50" s="22" t="n">
        <v>46419</v>
      </c>
      <c r="C50" s="3" t="inlineStr">
        <is>
          <t>suivi</t>
        </is>
      </c>
      <c r="D50" s="3" t="inlineStr">
        <is>
          <t>LinkedIn page</t>
        </is>
      </c>
      <c r="E50" s="3" t="n"/>
      <c r="F50" s="3" t="n"/>
      <c r="G50" s="3" t="n"/>
      <c r="H50" s="3" t="n"/>
      <c r="I50" s="3" t="n"/>
      <c r="J50" s="23">
        <f>IF(AND(ISNUMBER(F50),F50&gt;0,ISNUMBER(I50)),I50/F50,"")</f>
        <v/>
      </c>
      <c r="K50" s="3" t="n"/>
      <c r="L50" s="3" t="n"/>
      <c r="M50" s="3" t="inlineStr"/>
    </row>
    <row r="51">
      <c r="A51" s="3" t="inlineStr">
        <is>
          <t>2027-S05</t>
        </is>
      </c>
      <c r="B51" s="22" t="n">
        <v>46419</v>
      </c>
      <c r="C51" s="3" t="inlineStr">
        <is>
          <t>suivi</t>
        </is>
      </c>
      <c r="D51" s="3" t="inlineStr">
        <is>
          <t>LinkedIn profils fondateurs</t>
        </is>
      </c>
      <c r="E51" s="3" t="n"/>
      <c r="F51" s="3" t="n"/>
      <c r="G51" s="3" t="n"/>
      <c r="H51" s="3" t="n"/>
      <c r="I51" s="3" t="n"/>
      <c r="J51" s="23">
        <f>IF(AND(ISNUMBER(F51),F51&gt;0,ISNUMBER(I51)),I51/F51,"")</f>
        <v/>
      </c>
      <c r="K51" s="3" t="n"/>
      <c r="L51" s="3" t="n"/>
      <c r="M51" s="3" t="inlineStr"/>
    </row>
    <row r="52">
      <c r="A52" s="3" t="inlineStr">
        <is>
          <t>2027-S05</t>
        </is>
      </c>
      <c r="B52" s="22" t="n">
        <v>46419</v>
      </c>
      <c r="C52" s="3" t="inlineStr">
        <is>
          <t>suivi</t>
        </is>
      </c>
      <c r="D52" s="3" t="inlineStr">
        <is>
          <t>Instagram</t>
        </is>
      </c>
      <c r="E52" s="3" t="n"/>
      <c r="F52" s="3" t="n"/>
      <c r="G52" s="3" t="n"/>
      <c r="H52" s="3" t="n"/>
      <c r="I52" s="3" t="n"/>
      <c r="J52" s="23">
        <f>IF(AND(ISNUMBER(F52),F52&gt;0,ISNUMBER(I52)),I52/F52,"")</f>
        <v/>
      </c>
      <c r="K52" s="3" t="n"/>
      <c r="L52" s="3" t="n"/>
      <c r="M52" s="3" t="inlineStr"/>
    </row>
    <row r="53">
      <c r="A53" s="7" t="inlineStr">
        <is>
          <t>2027-S06</t>
        </is>
      </c>
      <c r="B53" s="24" t="n">
        <v>46426</v>
      </c>
      <c r="C53" s="7" t="inlineStr">
        <is>
          <t>suivi</t>
        </is>
      </c>
      <c r="D53" s="7" t="inlineStr">
        <is>
          <t>LinkedIn page</t>
        </is>
      </c>
      <c r="E53" s="7" t="n"/>
      <c r="F53" s="7" t="n"/>
      <c r="G53" s="7" t="n"/>
      <c r="H53" s="7" t="n"/>
      <c r="I53" s="7" t="n"/>
      <c r="J53" s="25">
        <f>IF(AND(ISNUMBER(F53),F53&gt;0,ISNUMBER(I53)),I53/F53,"")</f>
        <v/>
      </c>
      <c r="K53" s="7" t="n"/>
      <c r="L53" s="7" t="n"/>
      <c r="M53" s="7" t="inlineStr"/>
    </row>
    <row r="54">
      <c r="A54" s="7" t="inlineStr">
        <is>
          <t>2027-S06</t>
        </is>
      </c>
      <c r="B54" s="24" t="n">
        <v>46426</v>
      </c>
      <c r="C54" s="7" t="inlineStr">
        <is>
          <t>suivi</t>
        </is>
      </c>
      <c r="D54" s="7" t="inlineStr">
        <is>
          <t>LinkedIn profils fondateurs</t>
        </is>
      </c>
      <c r="E54" s="7" t="n"/>
      <c r="F54" s="7" t="n"/>
      <c r="G54" s="7" t="n"/>
      <c r="H54" s="7" t="n"/>
      <c r="I54" s="7" t="n"/>
      <c r="J54" s="25">
        <f>IF(AND(ISNUMBER(F54),F54&gt;0,ISNUMBER(I54)),I54/F54,"")</f>
        <v/>
      </c>
      <c r="K54" s="7" t="n"/>
      <c r="L54" s="7" t="n"/>
      <c r="M54" s="7" t="inlineStr"/>
    </row>
    <row r="55">
      <c r="A55" s="7" t="inlineStr">
        <is>
          <t>2027-S06</t>
        </is>
      </c>
      <c r="B55" s="24" t="n">
        <v>46426</v>
      </c>
      <c r="C55" s="7" t="inlineStr">
        <is>
          <t>suivi</t>
        </is>
      </c>
      <c r="D55" s="7" t="inlineStr">
        <is>
          <t>Instagram</t>
        </is>
      </c>
      <c r="E55" s="7" t="n"/>
      <c r="F55" s="7" t="n"/>
      <c r="G55" s="7" t="n"/>
      <c r="H55" s="7" t="n"/>
      <c r="I55" s="7" t="n"/>
      <c r="J55" s="25">
        <f>IF(AND(ISNUMBER(F55),F55&gt;0,ISNUMBER(I55)),I55/F55,"")</f>
        <v/>
      </c>
      <c r="K55" s="7" t="n"/>
      <c r="L55" s="7" t="n"/>
      <c r="M55" s="7" t="inlineStr"/>
    </row>
    <row r="56">
      <c r="A56" s="3" t="inlineStr">
        <is>
          <t>2027-S07</t>
        </is>
      </c>
      <c r="B56" s="22" t="n">
        <v>46433</v>
      </c>
      <c r="C56" s="3" t="inlineStr">
        <is>
          <t>suivi</t>
        </is>
      </c>
      <c r="D56" s="3" t="inlineStr">
        <is>
          <t>LinkedIn page</t>
        </is>
      </c>
      <c r="E56" s="3" t="n"/>
      <c r="F56" s="3" t="n"/>
      <c r="G56" s="3" t="n"/>
      <c r="H56" s="3" t="n"/>
      <c r="I56" s="3" t="n"/>
      <c r="J56" s="23">
        <f>IF(AND(ISNUMBER(F56),F56&gt;0,ISNUMBER(I56)),I56/F56,"")</f>
        <v/>
      </c>
      <c r="K56" s="3" t="n"/>
      <c r="L56" s="3" t="n"/>
      <c r="M56" s="3" t="inlineStr"/>
    </row>
    <row r="57">
      <c r="A57" s="3" t="inlineStr">
        <is>
          <t>2027-S07</t>
        </is>
      </c>
      <c r="B57" s="22" t="n">
        <v>46433</v>
      </c>
      <c r="C57" s="3" t="inlineStr">
        <is>
          <t>suivi</t>
        </is>
      </c>
      <c r="D57" s="3" t="inlineStr">
        <is>
          <t>LinkedIn profils fondateurs</t>
        </is>
      </c>
      <c r="E57" s="3" t="n"/>
      <c r="F57" s="3" t="n"/>
      <c r="G57" s="3" t="n"/>
      <c r="H57" s="3" t="n"/>
      <c r="I57" s="3" t="n"/>
      <c r="J57" s="23">
        <f>IF(AND(ISNUMBER(F57),F57&gt;0,ISNUMBER(I57)),I57/F57,"")</f>
        <v/>
      </c>
      <c r="K57" s="3" t="n"/>
      <c r="L57" s="3" t="n"/>
      <c r="M57" s="3" t="inlineStr"/>
    </row>
    <row r="58">
      <c r="A58" s="3" t="inlineStr">
        <is>
          <t>2027-S07</t>
        </is>
      </c>
      <c r="B58" s="22" t="n">
        <v>46433</v>
      </c>
      <c r="C58" s="3" t="inlineStr">
        <is>
          <t>suivi</t>
        </is>
      </c>
      <c r="D58" s="3" t="inlineStr">
        <is>
          <t>Instagram</t>
        </is>
      </c>
      <c r="E58" s="3" t="n"/>
      <c r="F58" s="3" t="n"/>
      <c r="G58" s="3" t="n"/>
      <c r="H58" s="3" t="n"/>
      <c r="I58" s="3" t="n"/>
      <c r="J58" s="23">
        <f>IF(AND(ISNUMBER(F58),F58&gt;0,ISNUMBER(I58)),I58/F58,"")</f>
        <v/>
      </c>
      <c r="K58" s="3" t="n"/>
      <c r="L58" s="3" t="n"/>
      <c r="M58" s="3" t="inlineStr"/>
    </row>
    <row r="59">
      <c r="A59" s="7" t="inlineStr">
        <is>
          <t>2027-S08</t>
        </is>
      </c>
      <c r="B59" s="24" t="n">
        <v>46440</v>
      </c>
      <c r="C59" s="7" t="inlineStr">
        <is>
          <t>suivi</t>
        </is>
      </c>
      <c r="D59" s="7" t="inlineStr">
        <is>
          <t>LinkedIn page</t>
        </is>
      </c>
      <c r="E59" s="7" t="n"/>
      <c r="F59" s="7" t="n"/>
      <c r="G59" s="7" t="n"/>
      <c r="H59" s="7" t="n"/>
      <c r="I59" s="7" t="n"/>
      <c r="J59" s="25">
        <f>IF(AND(ISNUMBER(F59),F59&gt;0,ISNUMBER(I59)),I59/F59,"")</f>
        <v/>
      </c>
      <c r="K59" s="7" t="n"/>
      <c r="L59" s="7" t="n"/>
      <c r="M59" s="7" t="inlineStr"/>
    </row>
    <row r="60">
      <c r="A60" s="7" t="inlineStr">
        <is>
          <t>2027-S08</t>
        </is>
      </c>
      <c r="B60" s="24" t="n">
        <v>46440</v>
      </c>
      <c r="C60" s="7" t="inlineStr">
        <is>
          <t>suivi</t>
        </is>
      </c>
      <c r="D60" s="7" t="inlineStr">
        <is>
          <t>LinkedIn profils fondateurs</t>
        </is>
      </c>
      <c r="E60" s="7" t="n"/>
      <c r="F60" s="7" t="n"/>
      <c r="G60" s="7" t="n"/>
      <c r="H60" s="7" t="n"/>
      <c r="I60" s="7" t="n"/>
      <c r="J60" s="25">
        <f>IF(AND(ISNUMBER(F60),F60&gt;0,ISNUMBER(I60)),I60/F60,"")</f>
        <v/>
      </c>
      <c r="K60" s="7" t="n"/>
      <c r="L60" s="7" t="n"/>
      <c r="M60" s="7" t="inlineStr"/>
    </row>
    <row r="61">
      <c r="A61" s="7" t="inlineStr">
        <is>
          <t>2027-S08</t>
        </is>
      </c>
      <c r="B61" s="24" t="n">
        <v>46440</v>
      </c>
      <c r="C61" s="7" t="inlineStr">
        <is>
          <t>suivi</t>
        </is>
      </c>
      <c r="D61" s="7" t="inlineStr">
        <is>
          <t>Instagram</t>
        </is>
      </c>
      <c r="E61" s="7" t="n"/>
      <c r="F61" s="7" t="n"/>
      <c r="G61" s="7" t="n"/>
      <c r="H61" s="7" t="n"/>
      <c r="I61" s="7" t="n"/>
      <c r="J61" s="25">
        <f>IF(AND(ISNUMBER(F61),F61&gt;0,ISNUMBER(I61)),I61/F61,"")</f>
        <v/>
      </c>
      <c r="K61" s="7" t="n"/>
      <c r="L61" s="7" t="n"/>
      <c r="M61" s="7" t="inlineStr"/>
    </row>
    <row r="62">
      <c r="A62" s="3" t="inlineStr">
        <is>
          <t>2027-S09</t>
        </is>
      </c>
      <c r="B62" s="22" t="n">
        <v>46447</v>
      </c>
      <c r="C62" s="3" t="inlineStr">
        <is>
          <t>suivi</t>
        </is>
      </c>
      <c r="D62" s="3" t="inlineStr">
        <is>
          <t>LinkedIn page</t>
        </is>
      </c>
      <c r="E62" s="3" t="n"/>
      <c r="F62" s="3" t="n"/>
      <c r="G62" s="3" t="n"/>
      <c r="H62" s="3" t="n"/>
      <c r="I62" s="3" t="n"/>
      <c r="J62" s="23">
        <f>IF(AND(ISNUMBER(F62),F62&gt;0,ISNUMBER(I62)),I62/F62,"")</f>
        <v/>
      </c>
      <c r="K62" s="3" t="n"/>
      <c r="L62" s="3" t="n"/>
      <c r="M62" s="3" t="inlineStr"/>
    </row>
    <row r="63">
      <c r="A63" s="3" t="inlineStr">
        <is>
          <t>2027-S09</t>
        </is>
      </c>
      <c r="B63" s="22" t="n">
        <v>46447</v>
      </c>
      <c r="C63" s="3" t="inlineStr">
        <is>
          <t>suivi</t>
        </is>
      </c>
      <c r="D63" s="3" t="inlineStr">
        <is>
          <t>LinkedIn profils fondateurs</t>
        </is>
      </c>
      <c r="E63" s="3" t="n"/>
      <c r="F63" s="3" t="n"/>
      <c r="G63" s="3" t="n"/>
      <c r="H63" s="3" t="n"/>
      <c r="I63" s="3" t="n"/>
      <c r="J63" s="23">
        <f>IF(AND(ISNUMBER(F63),F63&gt;0,ISNUMBER(I63)),I63/F63,"")</f>
        <v/>
      </c>
      <c r="K63" s="3" t="n"/>
      <c r="L63" s="3" t="n"/>
      <c r="M63" s="3" t="inlineStr"/>
    </row>
    <row r="64">
      <c r="A64" s="3" t="inlineStr">
        <is>
          <t>2027-S09</t>
        </is>
      </c>
      <c r="B64" s="22" t="n">
        <v>46447</v>
      </c>
      <c r="C64" s="3" t="inlineStr">
        <is>
          <t>suivi</t>
        </is>
      </c>
      <c r="D64" s="3" t="inlineStr">
        <is>
          <t>Instagram</t>
        </is>
      </c>
      <c r="E64" s="3" t="n"/>
      <c r="F64" s="3" t="n"/>
      <c r="G64" s="3" t="n"/>
      <c r="H64" s="3" t="n"/>
      <c r="I64" s="3" t="n"/>
      <c r="J64" s="23">
        <f>IF(AND(ISNUMBER(F64),F64&gt;0,ISNUMBER(I64)),I64/F64,"")</f>
        <v/>
      </c>
      <c r="K64" s="3" t="n"/>
      <c r="L64" s="3" t="n"/>
      <c r="M64" s="3" t="inlineStr"/>
    </row>
  </sheetData>
  <autoFilter ref="A1:M64"/>
  <conditionalFormatting sqref="P2:U22">
    <cfRule type="expression" priority="1" dxfId="0">
      <formula>ISNA(P2)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5" customWidth="1" min="4" max="4"/>
    <col width="12" customWidth="1" min="5" max="5"/>
    <col width="11" customWidth="1" min="6" max="6"/>
    <col width="20" customWidth="1" min="7" max="7"/>
    <col width="9" customWidth="1" min="8" max="8"/>
    <col width="16" customWidth="1" min="9" max="9"/>
    <col width="14" customWidth="1" min="10" max="10"/>
    <col width="10" customWidth="1" min="11" max="11"/>
    <col width="12" customWidth="1" min="12" max="12"/>
    <col width="14" customWidth="1" min="13" max="13"/>
    <col width="15" customWidth="1" min="14" max="14"/>
    <col width="12" customWidth="1" min="15" max="15"/>
    <col width="18" customWidth="1" min="16" max="16"/>
    <col width="15" customWidth="1" min="17" max="17"/>
    <col width="16" customWidth="1" min="18" max="18"/>
    <col width="50" customWidth="1" min="19" max="19"/>
  </cols>
  <sheetData>
    <row r="1" ht="32" customHeight="1">
      <c r="A1" s="1" t="inlineStr">
        <is>
          <t>semaine_iso</t>
        </is>
      </c>
      <c r="B1" s="1" t="inlineStr">
        <is>
          <t>lundi</t>
        </is>
      </c>
      <c r="C1" s="1" t="inlineStr">
        <is>
          <t>type</t>
        </is>
      </c>
      <c r="D1" s="1" t="inlineStr">
        <is>
          <t>comptes_cibles</t>
        </is>
      </c>
      <c r="E1" s="1" t="inlineStr">
        <is>
          <t>contactes</t>
        </is>
      </c>
      <c r="F1" s="1" t="inlineStr">
        <is>
          <t>reponses</t>
        </is>
      </c>
      <c r="G1" s="1" t="inlineStr">
        <is>
          <t>entretiens_decouverte</t>
        </is>
      </c>
      <c r="H1" s="1" t="inlineStr">
        <is>
          <t>demos</t>
        </is>
      </c>
      <c r="I1" s="1" t="inlineStr">
        <is>
          <t>demandes_pilote</t>
        </is>
      </c>
      <c r="J1" s="1" t="inlineStr">
        <is>
          <t>pilotes_actifs</t>
        </is>
      </c>
      <c r="K1" s="1" t="inlineStr">
        <is>
          <t>contrats</t>
        </is>
      </c>
      <c r="L1" s="1" t="inlineStr">
        <is>
          <t>nps_pilote</t>
        </is>
      </c>
      <c r="M1" s="1" t="inlineStr">
        <is>
          <t>taux_reponse</t>
        </is>
      </c>
      <c r="N1" s="1" t="inlineStr">
        <is>
          <t>taux_entretien</t>
        </is>
      </c>
      <c r="O1" s="1" t="inlineStr">
        <is>
          <t>taux_demo</t>
        </is>
      </c>
      <c r="P1" s="1" t="inlineStr">
        <is>
          <t>taux_demande_pilote</t>
        </is>
      </c>
      <c r="Q1" s="1" t="inlineStr">
        <is>
          <t>taux_signature</t>
        </is>
      </c>
      <c r="R1" s="1" t="inlineStr">
        <is>
          <t>couverture_liste</t>
        </is>
      </c>
      <c r="S1" s="1" t="inlineStr">
        <is>
          <t>note</t>
        </is>
      </c>
    </row>
    <row r="2">
      <c r="A2" s="3" t="inlineStr">
        <is>
          <t>2026-S42</t>
        </is>
      </c>
      <c r="B2" s="22" t="n">
        <v>46307</v>
      </c>
      <c r="C2" s="3" t="inlineStr">
        <is>
          <t>baseline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23">
        <f>IF(SUM(E$2:E2)&gt;0,SUM(F$2:F2)/SUM(E$2:E2),"")</f>
        <v/>
      </c>
      <c r="N2" s="23">
        <f>IF(SUM(F$2:F2)&gt;0,SUM(G$2:G2)/SUM(F$2:F2),"")</f>
        <v/>
      </c>
      <c r="O2" s="23">
        <f>IF(SUM(F$2:F2)&gt;0,SUM(H$2:H2)/SUM(F$2:F2),"")</f>
        <v/>
      </c>
      <c r="P2" s="23">
        <f>IF(SUM(H$2:H2)&gt;0,SUM(I$2:I2)/SUM(H$2:H2),"")</f>
        <v/>
      </c>
      <c r="Q2" s="23">
        <f>IF(SUM(I$2:I2)&gt;0,SUM(K$2:K2)/SUM(I$2:I2),"")</f>
        <v/>
      </c>
      <c r="R2" s="23">
        <f>IF(AND(ISNUMBER(D2),D2&gt;0),SUM(E$2:E2)/D2,"")</f>
        <v/>
      </c>
      <c r="S2" s="3" t="inlineStr">
        <is>
          <t>Baseline au 15/10/2026 (à relever)</t>
        </is>
      </c>
    </row>
    <row r="3">
      <c r="A3" s="7" t="inlineStr">
        <is>
          <t>2026-S43</t>
        </is>
      </c>
      <c r="B3" s="24" t="n">
        <v>46314</v>
      </c>
      <c r="C3" s="7" t="inlineStr">
        <is>
          <t>suivi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25">
        <f>IF(SUM(E$2:E3)&gt;0,SUM(F$2:F3)/SUM(E$2:E3),"")</f>
        <v/>
      </c>
      <c r="N3" s="25">
        <f>IF(SUM(F$2:F3)&gt;0,SUM(G$2:G3)/SUM(F$2:F3),"")</f>
        <v/>
      </c>
      <c r="O3" s="25">
        <f>IF(SUM(F$2:F3)&gt;0,SUM(H$2:H3)/SUM(F$2:F3),"")</f>
        <v/>
      </c>
      <c r="P3" s="25">
        <f>IF(SUM(H$2:H3)&gt;0,SUM(I$2:I3)/SUM(H$2:H3),"")</f>
        <v/>
      </c>
      <c r="Q3" s="25">
        <f>IF(SUM(I$2:I3)&gt;0,SUM(K$2:K3)/SUM(I$2:I3),"")</f>
        <v/>
      </c>
      <c r="R3" s="25">
        <f>IF(AND(ISNUMBER(D3),D3&gt;0),SUM(E$2:E3)/D3,"")</f>
        <v/>
      </c>
      <c r="S3" s="7" t="inlineStr"/>
    </row>
    <row r="4">
      <c r="A4" s="3" t="inlineStr">
        <is>
          <t>2026-S44</t>
        </is>
      </c>
      <c r="B4" s="22" t="n">
        <v>46321</v>
      </c>
      <c r="C4" s="3" t="inlineStr">
        <is>
          <t>suivi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23">
        <f>IF(SUM(E$2:E4)&gt;0,SUM(F$2:F4)/SUM(E$2:E4),"")</f>
        <v/>
      </c>
      <c r="N4" s="23">
        <f>IF(SUM(F$2:F4)&gt;0,SUM(G$2:G4)/SUM(F$2:F4),"")</f>
        <v/>
      </c>
      <c r="O4" s="23">
        <f>IF(SUM(F$2:F4)&gt;0,SUM(H$2:H4)/SUM(F$2:F4),"")</f>
        <v/>
      </c>
      <c r="P4" s="23">
        <f>IF(SUM(H$2:H4)&gt;0,SUM(I$2:I4)/SUM(H$2:H4),"")</f>
        <v/>
      </c>
      <c r="Q4" s="23">
        <f>IF(SUM(I$2:I4)&gt;0,SUM(K$2:K4)/SUM(I$2:I4),"")</f>
        <v/>
      </c>
      <c r="R4" s="23">
        <f>IF(AND(ISNUMBER(D4),D4&gt;0),SUM(E$2:E4)/D4,"")</f>
        <v/>
      </c>
      <c r="S4" s="3" t="inlineStr"/>
    </row>
    <row r="5">
      <c r="A5" s="7" t="inlineStr">
        <is>
          <t>2026-S45</t>
        </is>
      </c>
      <c r="B5" s="24" t="n">
        <v>46328</v>
      </c>
      <c r="C5" s="7" t="inlineStr">
        <is>
          <t>suivi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25">
        <f>IF(SUM(E$2:E5)&gt;0,SUM(F$2:F5)/SUM(E$2:E5),"")</f>
        <v/>
      </c>
      <c r="N5" s="25">
        <f>IF(SUM(F$2:F5)&gt;0,SUM(G$2:G5)/SUM(F$2:F5),"")</f>
        <v/>
      </c>
      <c r="O5" s="25">
        <f>IF(SUM(F$2:F5)&gt;0,SUM(H$2:H5)/SUM(F$2:F5),"")</f>
        <v/>
      </c>
      <c r="P5" s="25">
        <f>IF(SUM(H$2:H5)&gt;0,SUM(I$2:I5)/SUM(H$2:H5),"")</f>
        <v/>
      </c>
      <c r="Q5" s="25">
        <f>IF(SUM(I$2:I5)&gt;0,SUM(K$2:K5)/SUM(I$2:I5),"")</f>
        <v/>
      </c>
      <c r="R5" s="25">
        <f>IF(AND(ISNUMBER(D5),D5&gt;0),SUM(E$2:E5)/D5,"")</f>
        <v/>
      </c>
      <c r="S5" s="7" t="inlineStr"/>
    </row>
    <row r="6">
      <c r="A6" s="3" t="inlineStr">
        <is>
          <t>2026-S46</t>
        </is>
      </c>
      <c r="B6" s="22" t="n">
        <v>46335</v>
      </c>
      <c r="C6" s="3" t="inlineStr">
        <is>
          <t>suivi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23">
        <f>IF(SUM(E$2:E6)&gt;0,SUM(F$2:F6)/SUM(E$2:E6),"")</f>
        <v/>
      </c>
      <c r="N6" s="23">
        <f>IF(SUM(F$2:F6)&gt;0,SUM(G$2:G6)/SUM(F$2:F6),"")</f>
        <v/>
      </c>
      <c r="O6" s="23">
        <f>IF(SUM(F$2:F6)&gt;0,SUM(H$2:H6)/SUM(F$2:F6),"")</f>
        <v/>
      </c>
      <c r="P6" s="23">
        <f>IF(SUM(H$2:H6)&gt;0,SUM(I$2:I6)/SUM(H$2:H6),"")</f>
        <v/>
      </c>
      <c r="Q6" s="23">
        <f>IF(SUM(I$2:I6)&gt;0,SUM(K$2:K6)/SUM(I$2:I6),"")</f>
        <v/>
      </c>
      <c r="R6" s="23">
        <f>IF(AND(ISNUMBER(D6),D6&gt;0),SUM(E$2:E6)/D6,"")</f>
        <v/>
      </c>
      <c r="S6" s="3" t="inlineStr"/>
    </row>
    <row r="7">
      <c r="A7" s="7" t="inlineStr">
        <is>
          <t>2026-S47</t>
        </is>
      </c>
      <c r="B7" s="24" t="n">
        <v>46342</v>
      </c>
      <c r="C7" s="7" t="inlineStr">
        <is>
          <t>suivi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25">
        <f>IF(SUM(E$2:E7)&gt;0,SUM(F$2:F7)/SUM(E$2:E7),"")</f>
        <v/>
      </c>
      <c r="N7" s="25">
        <f>IF(SUM(F$2:F7)&gt;0,SUM(G$2:G7)/SUM(F$2:F7),"")</f>
        <v/>
      </c>
      <c r="O7" s="25">
        <f>IF(SUM(F$2:F7)&gt;0,SUM(H$2:H7)/SUM(F$2:F7),"")</f>
        <v/>
      </c>
      <c r="P7" s="25">
        <f>IF(SUM(H$2:H7)&gt;0,SUM(I$2:I7)/SUM(H$2:H7),"")</f>
        <v/>
      </c>
      <c r="Q7" s="25">
        <f>IF(SUM(I$2:I7)&gt;0,SUM(K$2:K7)/SUM(I$2:I7),"")</f>
        <v/>
      </c>
      <c r="R7" s="25">
        <f>IF(AND(ISNUMBER(D7),D7&gt;0),SUM(E$2:E7)/D7,"")</f>
        <v/>
      </c>
      <c r="S7" s="7" t="inlineStr"/>
    </row>
    <row r="8">
      <c r="A8" s="3" t="inlineStr">
        <is>
          <t>2026-S48</t>
        </is>
      </c>
      <c r="B8" s="22" t="n">
        <v>46349</v>
      </c>
      <c r="C8" s="3" t="inlineStr">
        <is>
          <t>suivi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23">
        <f>IF(SUM(E$2:E8)&gt;0,SUM(F$2:F8)/SUM(E$2:E8),"")</f>
        <v/>
      </c>
      <c r="N8" s="23">
        <f>IF(SUM(F$2:F8)&gt;0,SUM(G$2:G8)/SUM(F$2:F8),"")</f>
        <v/>
      </c>
      <c r="O8" s="23">
        <f>IF(SUM(F$2:F8)&gt;0,SUM(H$2:H8)/SUM(F$2:F8),"")</f>
        <v/>
      </c>
      <c r="P8" s="23">
        <f>IF(SUM(H$2:H8)&gt;0,SUM(I$2:I8)/SUM(H$2:H8),"")</f>
        <v/>
      </c>
      <c r="Q8" s="23">
        <f>IF(SUM(I$2:I8)&gt;0,SUM(K$2:K8)/SUM(I$2:I8),"")</f>
        <v/>
      </c>
      <c r="R8" s="23">
        <f>IF(AND(ISNUMBER(D8),D8&gt;0),SUM(E$2:E8)/D8,"")</f>
        <v/>
      </c>
      <c r="S8" s="3" t="inlineStr"/>
    </row>
    <row r="9">
      <c r="A9" s="7" t="inlineStr">
        <is>
          <t>2026-S49</t>
        </is>
      </c>
      <c r="B9" s="24" t="n">
        <v>46356</v>
      </c>
      <c r="C9" s="7" t="inlineStr">
        <is>
          <t>suivi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25">
        <f>IF(SUM(E$2:E9)&gt;0,SUM(F$2:F9)/SUM(E$2:E9),"")</f>
        <v/>
      </c>
      <c r="N9" s="25">
        <f>IF(SUM(F$2:F9)&gt;0,SUM(G$2:G9)/SUM(F$2:F9),"")</f>
        <v/>
      </c>
      <c r="O9" s="25">
        <f>IF(SUM(F$2:F9)&gt;0,SUM(H$2:H9)/SUM(F$2:F9),"")</f>
        <v/>
      </c>
      <c r="P9" s="25">
        <f>IF(SUM(H$2:H9)&gt;0,SUM(I$2:I9)/SUM(H$2:H9),"")</f>
        <v/>
      </c>
      <c r="Q9" s="25">
        <f>IF(SUM(I$2:I9)&gt;0,SUM(K$2:K9)/SUM(I$2:I9),"")</f>
        <v/>
      </c>
      <c r="R9" s="25">
        <f>IF(AND(ISNUMBER(D9),D9&gt;0),SUM(E$2:E9)/D9,"")</f>
        <v/>
      </c>
      <c r="S9" s="7" t="inlineStr"/>
    </row>
    <row r="10">
      <c r="A10" s="3" t="inlineStr">
        <is>
          <t>2026-S50</t>
        </is>
      </c>
      <c r="B10" s="22" t="n">
        <v>46363</v>
      </c>
      <c r="C10" s="3" t="inlineStr">
        <is>
          <t>suivi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23">
        <f>IF(SUM(E$2:E10)&gt;0,SUM(F$2:F10)/SUM(E$2:E10),"")</f>
        <v/>
      </c>
      <c r="N10" s="23">
        <f>IF(SUM(F$2:F10)&gt;0,SUM(G$2:G10)/SUM(F$2:F10),"")</f>
        <v/>
      </c>
      <c r="O10" s="23">
        <f>IF(SUM(F$2:F10)&gt;0,SUM(H$2:H10)/SUM(F$2:F10),"")</f>
        <v/>
      </c>
      <c r="P10" s="23">
        <f>IF(SUM(H$2:H10)&gt;0,SUM(I$2:I10)/SUM(H$2:H10),"")</f>
        <v/>
      </c>
      <c r="Q10" s="23">
        <f>IF(SUM(I$2:I10)&gt;0,SUM(K$2:K10)/SUM(I$2:I10),"")</f>
        <v/>
      </c>
      <c r="R10" s="23">
        <f>IF(AND(ISNUMBER(D10),D10&gt;0),SUM(E$2:E10)/D10,"")</f>
        <v/>
      </c>
      <c r="S10" s="3" t="inlineStr"/>
    </row>
    <row r="11">
      <c r="A11" s="7" t="inlineStr">
        <is>
          <t>2026-S51</t>
        </is>
      </c>
      <c r="B11" s="24" t="n">
        <v>46370</v>
      </c>
      <c r="C11" s="7" t="inlineStr">
        <is>
          <t>suivi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25">
        <f>IF(SUM(E$2:E11)&gt;0,SUM(F$2:F11)/SUM(E$2:E11),"")</f>
        <v/>
      </c>
      <c r="N11" s="25">
        <f>IF(SUM(F$2:F11)&gt;0,SUM(G$2:G11)/SUM(F$2:F11),"")</f>
        <v/>
      </c>
      <c r="O11" s="25">
        <f>IF(SUM(F$2:F11)&gt;0,SUM(H$2:H11)/SUM(F$2:F11),"")</f>
        <v/>
      </c>
      <c r="P11" s="25">
        <f>IF(SUM(H$2:H11)&gt;0,SUM(I$2:I11)/SUM(H$2:H11),"")</f>
        <v/>
      </c>
      <c r="Q11" s="25">
        <f>IF(SUM(I$2:I11)&gt;0,SUM(K$2:K11)/SUM(I$2:I11),"")</f>
        <v/>
      </c>
      <c r="R11" s="25">
        <f>IF(AND(ISNUMBER(D11),D11&gt;0),SUM(E$2:E11)/D11,"")</f>
        <v/>
      </c>
      <c r="S11" s="7" t="inlineStr"/>
    </row>
    <row r="12">
      <c r="A12" s="3" t="inlineStr">
        <is>
          <t>2026-S52</t>
        </is>
      </c>
      <c r="B12" s="22" t="n">
        <v>46377</v>
      </c>
      <c r="C12" s="3" t="inlineStr">
        <is>
          <t>suivi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23">
        <f>IF(SUM(E$2:E12)&gt;0,SUM(F$2:F12)/SUM(E$2:E12),"")</f>
        <v/>
      </c>
      <c r="N12" s="23">
        <f>IF(SUM(F$2:F12)&gt;0,SUM(G$2:G12)/SUM(F$2:F12),"")</f>
        <v/>
      </c>
      <c r="O12" s="23">
        <f>IF(SUM(F$2:F12)&gt;0,SUM(H$2:H12)/SUM(F$2:F12),"")</f>
        <v/>
      </c>
      <c r="P12" s="23">
        <f>IF(SUM(H$2:H12)&gt;0,SUM(I$2:I12)/SUM(H$2:H12),"")</f>
        <v/>
      </c>
      <c r="Q12" s="23">
        <f>IF(SUM(I$2:I12)&gt;0,SUM(K$2:K12)/SUM(I$2:I12),"")</f>
        <v/>
      </c>
      <c r="R12" s="23">
        <f>IF(AND(ISNUMBER(D12),D12&gt;0),SUM(E$2:E12)/D12,"")</f>
        <v/>
      </c>
      <c r="S12" s="3" t="inlineStr"/>
    </row>
    <row r="13">
      <c r="A13" s="7" t="inlineStr">
        <is>
          <t>2026-S53</t>
        </is>
      </c>
      <c r="B13" s="24" t="n">
        <v>46384</v>
      </c>
      <c r="C13" s="7" t="inlineStr">
        <is>
          <t>suivi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25">
        <f>IF(SUM(E$2:E13)&gt;0,SUM(F$2:F13)/SUM(E$2:E13),"")</f>
        <v/>
      </c>
      <c r="N13" s="25">
        <f>IF(SUM(F$2:F13)&gt;0,SUM(G$2:G13)/SUM(F$2:F13),"")</f>
        <v/>
      </c>
      <c r="O13" s="25">
        <f>IF(SUM(F$2:F13)&gt;0,SUM(H$2:H13)/SUM(F$2:F13),"")</f>
        <v/>
      </c>
      <c r="P13" s="25">
        <f>IF(SUM(H$2:H13)&gt;0,SUM(I$2:I13)/SUM(H$2:H13),"")</f>
        <v/>
      </c>
      <c r="Q13" s="25">
        <f>IF(SUM(I$2:I13)&gt;0,SUM(K$2:K13)/SUM(I$2:I13),"")</f>
        <v/>
      </c>
      <c r="R13" s="25">
        <f>IF(AND(ISNUMBER(D13),D13&gt;0),SUM(E$2:E13)/D13,"")</f>
        <v/>
      </c>
      <c r="S13" s="7" t="inlineStr"/>
    </row>
    <row r="14">
      <c r="A14" s="3" t="inlineStr">
        <is>
          <t>2027-S01</t>
        </is>
      </c>
      <c r="B14" s="22" t="n">
        <v>46391</v>
      </c>
      <c r="C14" s="3" t="inlineStr">
        <is>
          <t>suivi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23">
        <f>IF(SUM(E$2:E14)&gt;0,SUM(F$2:F14)/SUM(E$2:E14),"")</f>
        <v/>
      </c>
      <c r="N14" s="23">
        <f>IF(SUM(F$2:F14)&gt;0,SUM(G$2:G14)/SUM(F$2:F14),"")</f>
        <v/>
      </c>
      <c r="O14" s="23">
        <f>IF(SUM(F$2:F14)&gt;0,SUM(H$2:H14)/SUM(F$2:F14),"")</f>
        <v/>
      </c>
      <c r="P14" s="23">
        <f>IF(SUM(H$2:H14)&gt;0,SUM(I$2:I14)/SUM(H$2:H14),"")</f>
        <v/>
      </c>
      <c r="Q14" s="23">
        <f>IF(SUM(I$2:I14)&gt;0,SUM(K$2:K14)/SUM(I$2:I14),"")</f>
        <v/>
      </c>
      <c r="R14" s="23">
        <f>IF(AND(ISNUMBER(D14),D14&gt;0),SUM(E$2:E14)/D14,"")</f>
        <v/>
      </c>
      <c r="S14" s="3" t="inlineStr"/>
    </row>
    <row r="15">
      <c r="A15" s="7" t="inlineStr">
        <is>
          <t>2027-S02</t>
        </is>
      </c>
      <c r="B15" s="24" t="n">
        <v>46398</v>
      </c>
      <c r="C15" s="7" t="inlineStr">
        <is>
          <t>suivi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25">
        <f>IF(SUM(E$2:E15)&gt;0,SUM(F$2:F15)/SUM(E$2:E15),"")</f>
        <v/>
      </c>
      <c r="N15" s="25">
        <f>IF(SUM(F$2:F15)&gt;0,SUM(G$2:G15)/SUM(F$2:F15),"")</f>
        <v/>
      </c>
      <c r="O15" s="25">
        <f>IF(SUM(F$2:F15)&gt;0,SUM(H$2:H15)/SUM(F$2:F15),"")</f>
        <v/>
      </c>
      <c r="P15" s="25">
        <f>IF(SUM(H$2:H15)&gt;0,SUM(I$2:I15)/SUM(H$2:H15),"")</f>
        <v/>
      </c>
      <c r="Q15" s="25">
        <f>IF(SUM(I$2:I15)&gt;0,SUM(K$2:K15)/SUM(I$2:I15),"")</f>
        <v/>
      </c>
      <c r="R15" s="25">
        <f>IF(AND(ISNUMBER(D15),D15&gt;0),SUM(E$2:E15)/D15,"")</f>
        <v/>
      </c>
      <c r="S15" s="7" t="inlineStr"/>
    </row>
    <row r="16">
      <c r="A16" s="3" t="inlineStr">
        <is>
          <t>2027-S03</t>
        </is>
      </c>
      <c r="B16" s="22" t="n">
        <v>46405</v>
      </c>
      <c r="C16" s="3" t="inlineStr">
        <is>
          <t>suivi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23">
        <f>IF(SUM(E$2:E16)&gt;0,SUM(F$2:F16)/SUM(E$2:E16),"")</f>
        <v/>
      </c>
      <c r="N16" s="23">
        <f>IF(SUM(F$2:F16)&gt;0,SUM(G$2:G16)/SUM(F$2:F16),"")</f>
        <v/>
      </c>
      <c r="O16" s="23">
        <f>IF(SUM(F$2:F16)&gt;0,SUM(H$2:H16)/SUM(F$2:F16),"")</f>
        <v/>
      </c>
      <c r="P16" s="23">
        <f>IF(SUM(H$2:H16)&gt;0,SUM(I$2:I16)/SUM(H$2:H16),"")</f>
        <v/>
      </c>
      <c r="Q16" s="23">
        <f>IF(SUM(I$2:I16)&gt;0,SUM(K$2:K16)/SUM(I$2:I16),"")</f>
        <v/>
      </c>
      <c r="R16" s="23">
        <f>IF(AND(ISNUMBER(D16),D16&gt;0),SUM(E$2:E16)/D16,"")</f>
        <v/>
      </c>
      <c r="S16" s="3" t="inlineStr"/>
    </row>
    <row r="17">
      <c r="A17" s="7" t="inlineStr">
        <is>
          <t>2027-S04</t>
        </is>
      </c>
      <c r="B17" s="24" t="n">
        <v>46412</v>
      </c>
      <c r="C17" s="7" t="inlineStr">
        <is>
          <t>suivi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25">
        <f>IF(SUM(E$2:E17)&gt;0,SUM(F$2:F17)/SUM(E$2:E17),"")</f>
        <v/>
      </c>
      <c r="N17" s="25">
        <f>IF(SUM(F$2:F17)&gt;0,SUM(G$2:G17)/SUM(F$2:F17),"")</f>
        <v/>
      </c>
      <c r="O17" s="25">
        <f>IF(SUM(F$2:F17)&gt;0,SUM(H$2:H17)/SUM(F$2:F17),"")</f>
        <v/>
      </c>
      <c r="P17" s="25">
        <f>IF(SUM(H$2:H17)&gt;0,SUM(I$2:I17)/SUM(H$2:H17),"")</f>
        <v/>
      </c>
      <c r="Q17" s="25">
        <f>IF(SUM(I$2:I17)&gt;0,SUM(K$2:K17)/SUM(I$2:I17),"")</f>
        <v/>
      </c>
      <c r="R17" s="25">
        <f>IF(AND(ISNUMBER(D17),D17&gt;0),SUM(E$2:E17)/D17,"")</f>
        <v/>
      </c>
      <c r="S17" s="7" t="inlineStr"/>
    </row>
    <row r="18">
      <c r="A18" s="3" t="inlineStr">
        <is>
          <t>2027-S05</t>
        </is>
      </c>
      <c r="B18" s="22" t="n">
        <v>46419</v>
      </c>
      <c r="C18" s="3" t="inlineStr">
        <is>
          <t>suivi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23">
        <f>IF(SUM(E$2:E18)&gt;0,SUM(F$2:F18)/SUM(E$2:E18),"")</f>
        <v/>
      </c>
      <c r="N18" s="23">
        <f>IF(SUM(F$2:F18)&gt;0,SUM(G$2:G18)/SUM(F$2:F18),"")</f>
        <v/>
      </c>
      <c r="O18" s="23">
        <f>IF(SUM(F$2:F18)&gt;0,SUM(H$2:H18)/SUM(F$2:F18),"")</f>
        <v/>
      </c>
      <c r="P18" s="23">
        <f>IF(SUM(H$2:H18)&gt;0,SUM(I$2:I18)/SUM(H$2:H18),"")</f>
        <v/>
      </c>
      <c r="Q18" s="23">
        <f>IF(SUM(I$2:I18)&gt;0,SUM(K$2:K18)/SUM(I$2:I18),"")</f>
        <v/>
      </c>
      <c r="R18" s="23">
        <f>IF(AND(ISNUMBER(D18),D18&gt;0),SUM(E$2:E18)/D18,"")</f>
        <v/>
      </c>
      <c r="S18" s="3" t="inlineStr"/>
    </row>
    <row r="19">
      <c r="A19" s="7" t="inlineStr">
        <is>
          <t>2027-S06</t>
        </is>
      </c>
      <c r="B19" s="24" t="n">
        <v>46426</v>
      </c>
      <c r="C19" s="7" t="inlineStr">
        <is>
          <t>suivi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25">
        <f>IF(SUM(E$2:E19)&gt;0,SUM(F$2:F19)/SUM(E$2:E19),"")</f>
        <v/>
      </c>
      <c r="N19" s="25">
        <f>IF(SUM(F$2:F19)&gt;0,SUM(G$2:G19)/SUM(F$2:F19),"")</f>
        <v/>
      </c>
      <c r="O19" s="25">
        <f>IF(SUM(F$2:F19)&gt;0,SUM(H$2:H19)/SUM(F$2:F19),"")</f>
        <v/>
      </c>
      <c r="P19" s="25">
        <f>IF(SUM(H$2:H19)&gt;0,SUM(I$2:I19)/SUM(H$2:H19),"")</f>
        <v/>
      </c>
      <c r="Q19" s="25">
        <f>IF(SUM(I$2:I19)&gt;0,SUM(K$2:K19)/SUM(I$2:I19),"")</f>
        <v/>
      </c>
      <c r="R19" s="25">
        <f>IF(AND(ISNUMBER(D19),D19&gt;0),SUM(E$2:E19)/D19,"")</f>
        <v/>
      </c>
      <c r="S19" s="7" t="inlineStr"/>
    </row>
    <row r="20">
      <c r="A20" s="3" t="inlineStr">
        <is>
          <t>2027-S07</t>
        </is>
      </c>
      <c r="B20" s="22" t="n">
        <v>46433</v>
      </c>
      <c r="C20" s="3" t="inlineStr">
        <is>
          <t>suivi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23">
        <f>IF(SUM(E$2:E20)&gt;0,SUM(F$2:F20)/SUM(E$2:E20),"")</f>
        <v/>
      </c>
      <c r="N20" s="23">
        <f>IF(SUM(F$2:F20)&gt;0,SUM(G$2:G20)/SUM(F$2:F20),"")</f>
        <v/>
      </c>
      <c r="O20" s="23">
        <f>IF(SUM(F$2:F20)&gt;0,SUM(H$2:H20)/SUM(F$2:F20),"")</f>
        <v/>
      </c>
      <c r="P20" s="23">
        <f>IF(SUM(H$2:H20)&gt;0,SUM(I$2:I20)/SUM(H$2:H20),"")</f>
        <v/>
      </c>
      <c r="Q20" s="23">
        <f>IF(SUM(I$2:I20)&gt;0,SUM(K$2:K20)/SUM(I$2:I20),"")</f>
        <v/>
      </c>
      <c r="R20" s="23">
        <f>IF(AND(ISNUMBER(D20),D20&gt;0),SUM(E$2:E20)/D20,"")</f>
        <v/>
      </c>
      <c r="S20" s="3" t="inlineStr"/>
    </row>
    <row r="21">
      <c r="A21" s="7" t="inlineStr">
        <is>
          <t>2027-S08</t>
        </is>
      </c>
      <c r="B21" s="24" t="n">
        <v>46440</v>
      </c>
      <c r="C21" s="7" t="inlineStr">
        <is>
          <t>suivi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25">
        <f>IF(SUM(E$2:E21)&gt;0,SUM(F$2:F21)/SUM(E$2:E21),"")</f>
        <v/>
      </c>
      <c r="N21" s="25">
        <f>IF(SUM(F$2:F21)&gt;0,SUM(G$2:G21)/SUM(F$2:F21),"")</f>
        <v/>
      </c>
      <c r="O21" s="25">
        <f>IF(SUM(F$2:F21)&gt;0,SUM(H$2:H21)/SUM(F$2:F21),"")</f>
        <v/>
      </c>
      <c r="P21" s="25">
        <f>IF(SUM(H$2:H21)&gt;0,SUM(I$2:I21)/SUM(H$2:H21),"")</f>
        <v/>
      </c>
      <c r="Q21" s="25">
        <f>IF(SUM(I$2:I21)&gt;0,SUM(K$2:K21)/SUM(I$2:I21),"")</f>
        <v/>
      </c>
      <c r="R21" s="25">
        <f>IF(AND(ISNUMBER(D21),D21&gt;0),SUM(E$2:E21)/D21,"")</f>
        <v/>
      </c>
      <c r="S21" s="7" t="inlineStr"/>
    </row>
    <row r="22">
      <c r="A22" s="3" t="inlineStr">
        <is>
          <t>2027-S09</t>
        </is>
      </c>
      <c r="B22" s="22" t="n">
        <v>46447</v>
      </c>
      <c r="C22" s="3" t="inlineStr">
        <is>
          <t>suivi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23">
        <f>IF(SUM(E$2:E22)&gt;0,SUM(F$2:F22)/SUM(E$2:E22),"")</f>
        <v/>
      </c>
      <c r="N22" s="23">
        <f>IF(SUM(F$2:F22)&gt;0,SUM(G$2:G22)/SUM(F$2:F22),"")</f>
        <v/>
      </c>
      <c r="O22" s="23">
        <f>IF(SUM(F$2:F22)&gt;0,SUM(H$2:H22)/SUM(F$2:F22),"")</f>
        <v/>
      </c>
      <c r="P22" s="23">
        <f>IF(SUM(H$2:H22)&gt;0,SUM(I$2:I22)/SUM(H$2:H22),"")</f>
        <v/>
      </c>
      <c r="Q22" s="23">
        <f>IF(SUM(I$2:I22)&gt;0,SUM(K$2:K22)/SUM(I$2:I22),"")</f>
        <v/>
      </c>
      <c r="R22" s="23">
        <f>IF(AND(ISNUMBER(D22),D22&gt;0),SUM(E$2:E22)/D22,"")</f>
        <v/>
      </c>
      <c r="S22" s="3" t="inlineStr"/>
    </row>
    <row r="24">
      <c r="A24" s="10" t="inlineStr">
        <is>
          <t>Saisie : comptes_cibles et pilotes_actifs = stock à la fin de la semaine ; contactes, reponses, entretiens_decouverte, demos, demandes_pilote, contrats = flux de la semaine ; taux = calculés sur les cumuls depuis la sem. 42 (formules). Aucune valeur pré-remplie.</t>
        </is>
      </c>
    </row>
  </sheetData>
  <autoFilter ref="A1:S2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  <col width="13" customWidth="1" min="9" max="9"/>
    <col width="95" customWidth="1" min="10" max="10"/>
  </cols>
  <sheetData>
    <row r="1" ht="32" customHeight="1">
      <c r="A1" s="1" t="inlineStr">
        <is>
          <t>KPI</t>
        </is>
      </c>
      <c r="B1" s="1" t="inlineStr">
        <is>
          <t>Famille</t>
        </is>
      </c>
      <c r="C1" s="1" t="inlineStr">
        <is>
          <t>Nature de la cible</t>
        </is>
      </c>
      <c r="D1" s="1" t="inlineStr">
        <is>
          <t>Baseline S42</t>
        </is>
      </c>
      <c r="E1" s="1" t="inlineStr">
        <is>
          <t>Fin nov. 2026 (30/11)</t>
        </is>
      </c>
      <c r="F1" s="1" t="inlineStr">
        <is>
          <t>Fin déc. 2026 (31/12)</t>
        </is>
      </c>
      <c r="G1" s="1" t="inlineStr">
        <is>
          <t>Fin janv. 2027 (31/01)</t>
        </is>
      </c>
      <c r="H1" s="1" t="inlineStr">
        <is>
          <t>Jury fév. 2027 (26/02)</t>
        </is>
      </c>
      <c r="I1" s="1" t="inlineStr">
        <is>
          <t>Étiquette</t>
        </is>
      </c>
      <c r="J1" s="1" t="inlineStr">
        <is>
          <t>Justification</t>
        </is>
      </c>
    </row>
    <row r="2">
      <c r="A2" s="18" t="inlineStr">
        <is>
          <t>comptes_cibles</t>
        </is>
      </c>
      <c r="B2" s="18" t="inlineStr">
        <is>
          <t>commercial</t>
        </is>
      </c>
      <c r="C2" s="12" t="inlineStr">
        <is>
          <t>Stock : comptes qualifiés dans la liste P1</t>
        </is>
      </c>
      <c r="D2" s="19" t="inlineStr">
        <is>
          <t>n/a</t>
        </is>
      </c>
      <c r="E2" s="19" t="n">
        <v>60</v>
      </c>
      <c r="F2" s="19" t="n">
        <v>90</v>
      </c>
      <c r="G2" s="19" t="n">
        <v>110</v>
      </c>
      <c r="H2" s="19" t="n">
        <v>120</v>
      </c>
      <c r="I2" s="18" t="inlineStr">
        <is>
          <t>objectif</t>
        </is>
      </c>
      <c r="J2" s="12" t="inlineStr">
        <is>
          <t>Tunnel BP : 300 comptes sur 12 mois. Liste construite en avance sur les contacts : 40 % du volume annuel prévu dès le jury (prorata temporel : 130 jours sur 346, soit 37,6 %, arrondi par excès).</t>
        </is>
      </c>
    </row>
    <row r="3">
      <c r="A3" s="14" t="inlineStr">
        <is>
          <t>contactes</t>
        </is>
      </c>
      <c r="B3" s="14" t="inlineStr">
        <is>
          <t>commercial</t>
        </is>
      </c>
      <c r="C3" s="15" t="inlineStr">
        <is>
          <t>Cumul : comptes contactés au moins une fois</t>
        </is>
      </c>
      <c r="D3" s="16" t="inlineStr">
        <is>
          <t>n/a</t>
        </is>
      </c>
      <c r="E3" s="16" t="n">
        <v>45</v>
      </c>
      <c r="F3" s="16" t="n">
        <v>80</v>
      </c>
      <c r="G3" s="16" t="n">
        <v>100</v>
      </c>
      <c r="H3" s="16" t="n">
        <v>115</v>
      </c>
      <c r="I3" s="14" t="inlineStr">
        <is>
          <t>objectif</t>
        </is>
      </c>
      <c r="J3" s="15" t="inlineStr">
        <is>
          <t>Les comptes de la liste sont contactés au fil de l'eau ; 115 contactés au jury (prorata 37,6 % de 300 = 113).</t>
        </is>
      </c>
    </row>
    <row r="4">
      <c r="A4" s="18" t="inlineStr">
        <is>
          <t>reponses</t>
        </is>
      </c>
      <c r="B4" s="18" t="inlineStr">
        <is>
          <t>commercial</t>
        </is>
      </c>
      <c r="C4" s="12" t="inlineStr">
        <is>
          <t>Cumul : comptes ayant répondu</t>
        </is>
      </c>
      <c r="D4" s="19" t="inlineStr">
        <is>
          <t>n/a</t>
        </is>
      </c>
      <c r="E4" s="19" t="n">
        <v>9</v>
      </c>
      <c r="F4" s="19" t="n">
        <v>16</v>
      </c>
      <c r="G4" s="19" t="n">
        <v>20</v>
      </c>
      <c r="H4" s="19" t="n">
        <v>23</v>
      </c>
      <c r="I4" s="18" t="inlineStr">
        <is>
          <t>objectif</t>
        </is>
      </c>
      <c r="J4" s="12" t="inlineStr">
        <is>
          <t>Taux BP : 60 réponses sur 300 comptes, soit 20 % des comptes contactés.</t>
        </is>
      </c>
    </row>
    <row r="5">
      <c r="A5" s="14" t="inlineStr">
        <is>
          <t>entretiens_decouverte</t>
        </is>
      </c>
      <c r="B5" s="14" t="inlineStr">
        <is>
          <t>commercial</t>
        </is>
      </c>
      <c r="C5" s="15" t="inlineStr">
        <is>
          <t>Cumul : entretiens de découverte tenus et documentés</t>
        </is>
      </c>
      <c r="D5" s="16" t="inlineStr">
        <is>
          <t>n/a</t>
        </is>
      </c>
      <c r="E5" s="16" t="n">
        <v>7</v>
      </c>
      <c r="F5" s="16" t="n">
        <v>12</v>
      </c>
      <c r="G5" s="16" t="n">
        <v>15</v>
      </c>
      <c r="H5" s="16" t="n">
        <v>17</v>
      </c>
      <c r="I5" s="14" t="inlineStr">
        <is>
          <t>hypothèse</t>
        </is>
      </c>
      <c r="J5" s="15" t="inlineStr">
        <is>
          <t>Hors tunnel BP. Hypothèse : trois répondants sur quatre acceptent un entretien de 20 minutes ; à confirmer sur les premières semaines.</t>
        </is>
      </c>
    </row>
    <row r="6">
      <c r="A6" s="18" t="inlineStr">
        <is>
          <t>demos</t>
        </is>
      </c>
      <c r="B6" s="18" t="inlineStr">
        <is>
          <t>commercial</t>
        </is>
      </c>
      <c r="C6" s="12" t="inlineStr">
        <is>
          <t>Cumul : démos réalisées</t>
        </is>
      </c>
      <c r="D6" s="19" t="inlineStr">
        <is>
          <t>n/a</t>
        </is>
      </c>
      <c r="E6" s="19" t="n">
        <v>4</v>
      </c>
      <c r="F6" s="19" t="n">
        <v>7</v>
      </c>
      <c r="G6" s="19" t="n">
        <v>8</v>
      </c>
      <c r="H6" s="19" t="n">
        <v>10</v>
      </c>
      <c r="I6" s="18" t="inlineStr">
        <is>
          <t>objectif</t>
        </is>
      </c>
      <c r="J6" s="12" t="inlineStr">
        <is>
          <t>Taux BP : 25 démos pour 60 réponses, soit 41,7 % des réponses.</t>
        </is>
      </c>
    </row>
    <row r="7">
      <c r="A7" s="14" t="inlineStr">
        <is>
          <t>demandes_pilote</t>
        </is>
      </c>
      <c r="B7" s="14" t="inlineStr">
        <is>
          <t>commercial</t>
        </is>
      </c>
      <c r="C7" s="15" t="inlineStr">
        <is>
          <t>Cumul : demandes de pilote reçues (page /pilote, e-mail, entretien)</t>
        </is>
      </c>
      <c r="D7" s="16" t="inlineStr">
        <is>
          <t>n/a</t>
        </is>
      </c>
      <c r="E7" s="16" t="n">
        <v>2</v>
      </c>
      <c r="F7" s="16" t="n">
        <v>3</v>
      </c>
      <c r="G7" s="16" t="n">
        <v>4</v>
      </c>
      <c r="H7" s="16" t="n">
        <v>5</v>
      </c>
      <c r="I7" s="14" t="inlineStr">
        <is>
          <t>objectif</t>
        </is>
      </c>
      <c r="J7" s="15" t="inlineStr">
        <is>
          <t>Taux BP : 12 pilotes pour 25 démos, soit 48 % des démos.</t>
        </is>
      </c>
    </row>
    <row r="8">
      <c r="A8" s="18" t="inlineStr">
        <is>
          <t>pilotes_actifs</t>
        </is>
      </c>
      <c r="B8" s="18" t="inlineStr">
        <is>
          <t>commercial</t>
        </is>
      </c>
      <c r="C8" s="12" t="inlineStr">
        <is>
          <t>Stock : organisations au statut Pilote ou Actif (back-office)</t>
        </is>
      </c>
      <c r="D8" s="19" t="inlineStr">
        <is>
          <t>n/a</t>
        </is>
      </c>
      <c r="E8" s="19" t="n">
        <v>1</v>
      </c>
      <c r="F8" s="19" t="n">
        <v>2</v>
      </c>
      <c r="G8" s="19" t="n">
        <v>3</v>
      </c>
      <c r="H8" s="19" t="n">
        <v>3</v>
      </c>
      <c r="I8" s="18" t="inlineStr">
        <is>
          <t>objectif</t>
        </is>
      </c>
      <c r="J8" s="12" t="inlineStr">
        <is>
          <t>BP : 3 pilotes visés avant mars 2027 (diapo « Ce qu'on doit prouver »). Le jury de février est visé avec un mois d'avance.</t>
        </is>
      </c>
    </row>
    <row r="9">
      <c r="A9" s="14" t="inlineStr">
        <is>
          <t>contrats</t>
        </is>
      </c>
      <c r="B9" s="14" t="inlineStr">
        <is>
          <t>commercial</t>
        </is>
      </c>
      <c r="C9" s="15" t="inlineStr">
        <is>
          <t>Cumul : contrats signés (idéalement payants)</t>
        </is>
      </c>
      <c r="D9" s="16" t="inlineStr">
        <is>
          <t>n/a</t>
        </is>
      </c>
      <c r="E9" s="16" t="n">
        <v>0</v>
      </c>
      <c r="F9" s="16" t="n">
        <v>0</v>
      </c>
      <c r="G9" s="16" t="n">
        <v>0</v>
      </c>
      <c r="H9" s="16" t="n">
        <v>1</v>
      </c>
      <c r="I9" s="14" t="inlineStr">
        <is>
          <t>objectif</t>
        </is>
      </c>
      <c r="J9" s="15" t="inlineStr">
        <is>
          <t>Le prorata donnerait 3 contrats (8 × 37,6 %), mais le BP annonce un cycle de vente de 2 à 4 mois pilote inclus et 2 payants en mars 2027 : un premier contrat au jury est l'objectif tenable.</t>
        </is>
      </c>
    </row>
    <row r="10">
      <c r="A10" s="18" t="inlineStr">
        <is>
          <t>nps_pilote</t>
        </is>
      </c>
      <c r="B10" s="18" t="inlineStr">
        <is>
          <t>commercial</t>
        </is>
      </c>
      <c r="C10" s="12" t="inlineStr">
        <is>
          <t>Pas de cible de score : 100 % des NPS J+7 et J+25 collectés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8" t="inlineStr">
        <is>
          <t>objectif</t>
        </is>
      </c>
      <c r="J10" s="12" t="inlineStr">
        <is>
          <t>Échantillon trop petit pour viser un score. Indiquer n (nombre de réponses) à côté de chaque valeur.</t>
        </is>
      </c>
    </row>
    <row r="11">
      <c r="A11" s="14" t="inlineStr">
        <is>
          <t>publications (LinkedIn)</t>
        </is>
      </c>
      <c r="B11" s="14" t="inlineStr">
        <is>
          <t>social</t>
        </is>
      </c>
      <c r="C11" s="15" t="inlineStr">
        <is>
          <t>Cumul depuis le 19/10 : publications LinkedIn (page + profils)</t>
        </is>
      </c>
      <c r="D11" s="16" t="inlineStr">
        <is>
          <t>n/a</t>
        </is>
      </c>
      <c r="E11" s="16" t="n">
        <v>13</v>
      </c>
      <c r="F11" s="16" t="n">
        <v>22</v>
      </c>
      <c r="G11" s="16" t="n">
        <v>31</v>
      </c>
      <c r="H11" s="16" t="n">
        <v>41</v>
      </c>
      <c r="I11" s="14" t="inlineStr">
        <is>
          <t>objectif</t>
        </is>
      </c>
      <c r="J11" s="15" t="inlineStr">
        <is>
          <t>Compté sur calendrier-editorial.xlsx : 2 à 3 par semaine, Noël allégé.</t>
        </is>
      </c>
    </row>
    <row r="12">
      <c r="A12" s="18" t="inlineStr">
        <is>
          <t>publications (Instagram)</t>
        </is>
      </c>
      <c r="B12" s="18" t="inlineStr">
        <is>
          <t>social</t>
        </is>
      </c>
      <c r="C12" s="12" t="inlineStr">
        <is>
          <t>Cumul depuis le 19/10 : publications Instagram</t>
        </is>
      </c>
      <c r="D12" s="19" t="inlineStr">
        <is>
          <t>n/a</t>
        </is>
      </c>
      <c r="E12" s="19" t="n">
        <v>8</v>
      </c>
      <c r="F12" s="19" t="n">
        <v>12</v>
      </c>
      <c r="G12" s="19" t="n">
        <v>16</v>
      </c>
      <c r="H12" s="19" t="n">
        <v>20</v>
      </c>
      <c r="I12" s="18" t="inlineStr">
        <is>
          <t>objectif</t>
        </is>
      </c>
      <c r="J12" s="12" t="inlineStr">
        <is>
          <t>Compté sur calendrier-editorial.xlsx : 1 à 2 par semaine (déclinaisons).</t>
        </is>
      </c>
    </row>
    <row r="13">
      <c r="A13" s="14" t="inlineStr">
        <is>
          <t>abonnes - LinkedIn page</t>
        </is>
      </c>
      <c r="B13" s="14" t="inlineStr">
        <is>
          <t>social</t>
        </is>
      </c>
      <c r="C13" s="15" t="inlineStr">
        <is>
          <t>Gain net vs baseline</t>
        </is>
      </c>
      <c r="D13" s="16" t="inlineStr">
        <is>
          <t>à relever</t>
        </is>
      </c>
      <c r="E13" s="16" t="n">
        <v>25</v>
      </c>
      <c r="F13" s="16" t="n">
        <v>50</v>
      </c>
      <c r="G13" s="16" t="n">
        <v>75</v>
      </c>
      <c r="H13" s="16" t="n">
        <v>100</v>
      </c>
      <c r="I13" s="14" t="inlineStr">
        <is>
          <t>hypothèse</t>
        </is>
      </c>
      <c r="J13" s="15" t="inlineStr">
        <is>
          <t>À recalibrer à la revue du 30/11 après six semaines de mesure. Qualité (P1) avant volume : la page doit être peuplée quand un prospect la consulte.</t>
        </is>
      </c>
    </row>
    <row r="14">
      <c r="A14" s="18" t="inlineStr">
        <is>
          <t>abonnes - LinkedIn profils fondateurs</t>
        </is>
      </c>
      <c r="B14" s="18" t="inlineStr">
        <is>
          <t>social</t>
        </is>
      </c>
      <c r="C14" s="12" t="inlineStr">
        <is>
          <t>Gain net vs baseline (somme des 3 profils)</t>
        </is>
      </c>
      <c r="D14" s="19" t="inlineStr">
        <is>
          <t>à relever</t>
        </is>
      </c>
      <c r="E14" s="19" t="n">
        <v>30</v>
      </c>
      <c r="F14" s="19" t="n">
        <v>60</v>
      </c>
      <c r="G14" s="19" t="n">
        <v>90</v>
      </c>
      <c r="H14" s="19" t="n">
        <v>120</v>
      </c>
      <c r="I14" s="18" t="inlineStr">
        <is>
          <t>hypothèse</t>
        </is>
      </c>
      <c r="J14" s="12" t="inlineStr">
        <is>
          <t>Logique founder-led : le réseau des trois fondateurs porte la portée initiale. À recalibrer le 30/11.</t>
        </is>
      </c>
    </row>
    <row r="15">
      <c r="A15" s="14" t="inlineStr">
        <is>
          <t>abonnes - Instagram</t>
        </is>
      </c>
      <c r="B15" s="14" t="inlineStr">
        <is>
          <t>social</t>
        </is>
      </c>
      <c r="C15" s="15" t="inlineStr">
        <is>
          <t>Gain net vs baseline</t>
        </is>
      </c>
      <c r="D15" s="16" t="inlineStr">
        <is>
          <t>à relever</t>
        </is>
      </c>
      <c r="E15" s="16" t="n">
        <v>15</v>
      </c>
      <c r="F15" s="16" t="n">
        <v>30</v>
      </c>
      <c r="G15" s="16" t="n">
        <v>45</v>
      </c>
      <c r="H15" s="16" t="n">
        <v>60</v>
      </c>
      <c r="I15" s="14" t="inlineStr">
        <is>
          <t>hypothèse</t>
        </is>
      </c>
      <c r="J15" s="15" t="inlineStr">
        <is>
          <t>Canal secondaire : preuve visuelle, pas moteur d'acquisition. Baseline inconnue, à relever.</t>
        </is>
      </c>
    </row>
    <row r="16">
      <c r="A16" s="18" t="inlineStr">
        <is>
          <t>impressions (tous canaux)</t>
        </is>
      </c>
      <c r="B16" s="18" t="inlineStr">
        <is>
          <t>social</t>
        </is>
      </c>
      <c r="C16" s="12" t="inlineStr">
        <is>
          <t>Multiple de la baseline S42, total hebdomadaire sur les 4 dernières semaines</t>
        </is>
      </c>
      <c r="D16" s="19" t="inlineStr">
        <is>
          <t>à relever</t>
        </is>
      </c>
      <c r="E16" s="19" t="n">
        <v>1.5</v>
      </c>
      <c r="F16" s="19" t="n">
        <v>2</v>
      </c>
      <c r="G16" s="19" t="n">
        <v>2.5</v>
      </c>
      <c r="H16" s="19" t="n">
        <v>3</v>
      </c>
      <c r="I16" s="18" t="inlineStr">
        <is>
          <t>hypothèse</t>
        </is>
      </c>
      <c r="J16" s="12" t="inlineStr">
        <is>
          <t>Objectif en multiple car la baseline est inconnue ; se convertit en valeur absolue dans le bloc ci-dessous dès la baseline saisie.</t>
        </is>
      </c>
    </row>
    <row r="17">
      <c r="A17" s="14" t="inlineStr">
        <is>
          <t>reach (tous canaux)</t>
        </is>
      </c>
      <c r="B17" s="14" t="inlineStr">
        <is>
          <t>social</t>
        </is>
      </c>
      <c r="C17" s="15" t="inlineStr">
        <is>
          <t>Multiple de la baseline S42, total hebdomadaire</t>
        </is>
      </c>
      <c r="D17" s="16" t="inlineStr">
        <is>
          <t>à relever</t>
        </is>
      </c>
      <c r="E17" s="16" t="n">
        <v>1.5</v>
      </c>
      <c r="F17" s="16" t="n">
        <v>2</v>
      </c>
      <c r="G17" s="16" t="n">
        <v>2.5</v>
      </c>
      <c r="H17" s="16" t="n">
        <v>3</v>
      </c>
      <c r="I17" s="14" t="inlineStr">
        <is>
          <t>hypothèse</t>
        </is>
      </c>
      <c r="J17" s="15" t="inlineStr">
        <is>
          <t>Même logique que les impressions.</t>
        </is>
      </c>
    </row>
    <row r="18">
      <c r="A18" s="18" t="inlineStr">
        <is>
          <t>engagements (tous canaux)</t>
        </is>
      </c>
      <c r="B18" s="18" t="inlineStr">
        <is>
          <t>social</t>
        </is>
      </c>
      <c r="C18" s="12" t="inlineStr">
        <is>
          <t>Multiple de la baseline S42, total hebdomadaire</t>
        </is>
      </c>
      <c r="D18" s="19" t="inlineStr">
        <is>
          <t>à relever</t>
        </is>
      </c>
      <c r="E18" s="19" t="n">
        <v>1.5</v>
      </c>
      <c r="F18" s="19" t="n">
        <v>2</v>
      </c>
      <c r="G18" s="19" t="n">
        <v>2.5</v>
      </c>
      <c r="H18" s="19" t="n">
        <v>3</v>
      </c>
      <c r="I18" s="18" t="inlineStr">
        <is>
          <t>hypothèse</t>
        </is>
      </c>
      <c r="J18" s="12" t="inlineStr">
        <is>
          <t>Même logique ; à lire avec taux_engagement.</t>
        </is>
      </c>
    </row>
    <row r="19">
      <c r="A19" s="14" t="inlineStr">
        <is>
          <t>taux_engagement</t>
        </is>
      </c>
      <c r="B19" s="14" t="inlineStr">
        <is>
          <t>social</t>
        </is>
      </c>
      <c r="C19" s="15" t="inlineStr">
        <is>
          <t>Multiple de la baseline S42 (1,0 = au moins égal)</t>
        </is>
      </c>
      <c r="D19" s="16" t="inlineStr">
        <is>
          <t>à relever</t>
        </is>
      </c>
      <c r="E19" s="16" t="n">
        <v>1</v>
      </c>
      <c r="F19" s="16" t="n">
        <v>1</v>
      </c>
      <c r="G19" s="16" t="n">
        <v>1</v>
      </c>
      <c r="H19" s="16" t="n">
        <v>1</v>
      </c>
      <c r="I19" s="14" t="inlineStr">
        <is>
          <t>objectif</t>
        </is>
      </c>
      <c r="J19" s="15" t="inlineStr">
        <is>
          <t>Le volume doit croître sans dégrader l'engagement relatif. Aucun benchmark externe retenu : les définitions de taux diffèrent d'une étude à l'autre.</t>
        </is>
      </c>
    </row>
    <row r="20">
      <c r="A20" s="18" t="inlineStr">
        <is>
          <t>clics (social)</t>
        </is>
      </c>
      <c r="B20" s="18" t="inlineStr">
        <is>
          <t>social</t>
        </is>
      </c>
      <c r="C20" s="12" t="inlineStr">
        <is>
          <t>Cumul : clics sur le lien /pilote</t>
        </is>
      </c>
      <c r="D20" s="19" t="inlineStr">
        <is>
          <t>à relever</t>
        </is>
      </c>
      <c r="E20" s="19" t="n">
        <v>20</v>
      </c>
      <c r="F20" s="19" t="n">
        <v>45</v>
      </c>
      <c r="G20" s="19" t="n">
        <v>75</v>
      </c>
      <c r="H20" s="19" t="n">
        <v>100</v>
      </c>
      <c r="I20" s="18" t="inlineStr">
        <is>
          <t>hypothèse</t>
        </is>
      </c>
      <c r="J20" s="12" t="inlineStr">
        <is>
          <t>Environ les deux tiers des visites visées ; le reste vient de l'outbound e-mail.</t>
        </is>
      </c>
    </row>
    <row r="21">
      <c r="A21" s="14" t="inlineStr">
        <is>
          <t>visites_pilote</t>
        </is>
      </c>
      <c r="B21" s="14" t="inlineStr">
        <is>
          <t>social</t>
        </is>
      </c>
      <c r="C21" s="15" t="inlineStr">
        <is>
          <t>Cumul : visites de /pilote avec UTM (social + e-mail)</t>
        </is>
      </c>
      <c r="D21" s="16" t="inlineStr">
        <is>
          <t>à relever</t>
        </is>
      </c>
      <c r="E21" s="16" t="n">
        <v>30</v>
      </c>
      <c r="F21" s="16" t="n">
        <v>70</v>
      </c>
      <c r="G21" s="16" t="n">
        <v>110</v>
      </c>
      <c r="H21" s="16" t="n">
        <v>150</v>
      </c>
      <c r="I21" s="14" t="inlineStr">
        <is>
          <t>hypothèse</t>
        </is>
      </c>
      <c r="J21" s="15" t="inlineStr">
        <is>
          <t>150 visites × 3 à 4 % de demandes de pilote ≈ 5 demandes (hypothèse de conversion à vérifier sur les premières semaines).</t>
        </is>
      </c>
    </row>
    <row r="23">
      <c r="A23" s="17" t="inlineStr">
        <is>
          <t>Cibles absolues calculées (se remplissent quand la baseline de la sem. 42 est saisie dans Social_hebdo)</t>
        </is>
      </c>
    </row>
    <row r="24" ht="32" customHeight="1">
      <c r="A24" s="1" t="inlineStr">
        <is>
          <t>KPI</t>
        </is>
      </c>
      <c r="B24" s="1" t="inlineStr">
        <is>
          <t>Famille</t>
        </is>
      </c>
      <c r="C24" s="1" t="inlineStr">
        <is>
          <t>Calcul</t>
        </is>
      </c>
      <c r="D24" s="1" t="inlineStr">
        <is>
          <t>Baseline S42</t>
        </is>
      </c>
      <c r="E24" s="1" t="inlineStr">
        <is>
          <t>Fin nov.</t>
        </is>
      </c>
      <c r="F24" s="1" t="inlineStr">
        <is>
          <t>Fin déc.</t>
        </is>
      </c>
      <c r="G24" s="1" t="inlineStr">
        <is>
          <t>Fin janv.</t>
        </is>
      </c>
      <c r="H24" s="1" t="inlineStr">
        <is>
          <t>Jury fév.</t>
        </is>
      </c>
      <c r="I24" s="1" t="inlineStr">
        <is>
          <t>Étiquette</t>
        </is>
      </c>
      <c r="J24" s="1" t="inlineStr"/>
    </row>
    <row r="25">
      <c r="A25" s="18" t="inlineStr">
        <is>
          <t>abonnes - LinkedIn page</t>
        </is>
      </c>
      <c r="B25" s="18" t="inlineStr">
        <is>
          <t>social</t>
        </is>
      </c>
      <c r="C25" s="18" t="inlineStr">
        <is>
          <t>baseline + gain net</t>
        </is>
      </c>
      <c r="D25" s="19">
        <f>IF(COUNTIFS(Social_hebdo!$A$2:$A$64,"2026-S42",Social_hebdo!$D$2:$D$64,"LinkedIn page",Social_hebdo!$H$2:$H$64,"&lt;&gt;")=0,"à relever",SUMIFS(Social_hebdo!$H$2:$H$64,Social_hebdo!$A$2:$A$64,"2026-S42",Social_hebdo!$D$2:$D$64,"LinkedIn page"))</f>
        <v/>
      </c>
      <c r="E25" s="19">
        <f>IF(ISNUMBER($D25),$D25+E13,"baseline à relever")</f>
        <v/>
      </c>
      <c r="F25" s="19">
        <f>IF(ISNUMBER($D25),$D25+F13,"baseline à relever")</f>
        <v/>
      </c>
      <c r="G25" s="19">
        <f>IF(ISNUMBER($D25),$D25+G13,"baseline à relever")</f>
        <v/>
      </c>
      <c r="H25" s="19">
        <f>IF(ISNUMBER($D25),$D25+H13,"baseline à relever")</f>
        <v/>
      </c>
      <c r="I25" s="18" t="inlineStr">
        <is>
          <t>hypothèse</t>
        </is>
      </c>
    </row>
    <row r="26">
      <c r="A26" s="18" t="inlineStr">
        <is>
          <t>abonnes - LinkedIn profils fondateurs</t>
        </is>
      </c>
      <c r="B26" s="18" t="inlineStr">
        <is>
          <t>social</t>
        </is>
      </c>
      <c r="C26" s="18" t="inlineStr">
        <is>
          <t>baseline + gain net</t>
        </is>
      </c>
      <c r="D26" s="19">
        <f>IF(COUNTIFS(Social_hebdo!$A$2:$A$64,"2026-S42",Social_hebdo!$D$2:$D$64,"LinkedIn profils fondateurs",Social_hebdo!$H$2:$H$64,"&lt;&gt;")=0,"à relever",SUMIFS(Social_hebdo!$H$2:$H$64,Social_hebdo!$A$2:$A$64,"2026-S42",Social_hebdo!$D$2:$D$64,"LinkedIn profils fondateurs"))</f>
        <v/>
      </c>
      <c r="E26" s="19">
        <f>IF(ISNUMBER($D26),$D26+E14,"baseline à relever")</f>
        <v/>
      </c>
      <c r="F26" s="19">
        <f>IF(ISNUMBER($D26),$D26+F14,"baseline à relever")</f>
        <v/>
      </c>
      <c r="G26" s="19">
        <f>IF(ISNUMBER($D26),$D26+G14,"baseline à relever")</f>
        <v/>
      </c>
      <c r="H26" s="19">
        <f>IF(ISNUMBER($D26),$D26+H14,"baseline à relever")</f>
        <v/>
      </c>
      <c r="I26" s="18" t="inlineStr">
        <is>
          <t>hypothèse</t>
        </is>
      </c>
    </row>
    <row r="27">
      <c r="A27" s="18" t="inlineStr">
        <is>
          <t>abonnes - Instagram</t>
        </is>
      </c>
      <c r="B27" s="18" t="inlineStr">
        <is>
          <t>social</t>
        </is>
      </c>
      <c r="C27" s="18" t="inlineStr">
        <is>
          <t>baseline + gain net</t>
        </is>
      </c>
      <c r="D27" s="19">
        <f>IF(COUNTIFS(Social_hebdo!$A$2:$A$64,"2026-S42",Social_hebdo!$D$2:$D$64,"Instagram",Social_hebdo!$H$2:$H$64,"&lt;&gt;")=0,"à relever",SUMIFS(Social_hebdo!$H$2:$H$64,Social_hebdo!$A$2:$A$64,"2026-S42",Social_hebdo!$D$2:$D$64,"Instagram"))</f>
        <v/>
      </c>
      <c r="E27" s="19">
        <f>IF(ISNUMBER($D27),$D27+E15,"baseline à relever")</f>
        <v/>
      </c>
      <c r="F27" s="19">
        <f>IF(ISNUMBER($D27),$D27+F15,"baseline à relever")</f>
        <v/>
      </c>
      <c r="G27" s="19">
        <f>IF(ISNUMBER($D27),$D27+G15,"baseline à relever")</f>
        <v/>
      </c>
      <c r="H27" s="19">
        <f>IF(ISNUMBER($D27),$D27+H15,"baseline à relever")</f>
        <v/>
      </c>
      <c r="I27" s="18" t="inlineStr">
        <is>
          <t>hypothèse</t>
        </is>
      </c>
    </row>
    <row r="28">
      <c r="A28" s="18" t="inlineStr">
        <is>
          <t>impressions (tous canaux)</t>
        </is>
      </c>
      <c r="B28" s="18" t="inlineStr">
        <is>
          <t>social</t>
        </is>
      </c>
      <c r="C28" s="18" t="inlineStr">
        <is>
          <t>baseline hebdo (3 canaux) × multiple</t>
        </is>
      </c>
      <c r="D28" s="19">
        <f>IF(COUNTIFS(Social_hebdo!$A$2:$A$64,"2026-S42",Social_hebdo!$F$2:$F$64,"&lt;&gt;")=0,"à relever",SUMIFS(Social_hebdo!$F$2:$F$64,Social_hebdo!$A$2:$A$64,"2026-S42"))</f>
        <v/>
      </c>
      <c r="E28" s="19">
        <f>IF(ISNUMBER($D28),$D28*E16,"baseline à relever")</f>
        <v/>
      </c>
      <c r="F28" s="19">
        <f>IF(ISNUMBER($D28),$D28*F16,"baseline à relever")</f>
        <v/>
      </c>
      <c r="G28" s="19">
        <f>IF(ISNUMBER($D28),$D28*G16,"baseline à relever")</f>
        <v/>
      </c>
      <c r="H28" s="19">
        <f>IF(ISNUMBER($D28),$D28*H16,"baseline à relever")</f>
        <v/>
      </c>
      <c r="I28" s="18" t="inlineStr">
        <is>
          <t>hypothèse</t>
        </is>
      </c>
    </row>
    <row r="29">
      <c r="A29" s="18" t="inlineStr">
        <is>
          <t>reach (tous canaux)</t>
        </is>
      </c>
      <c r="B29" s="18" t="inlineStr">
        <is>
          <t>social</t>
        </is>
      </c>
      <c r="C29" s="18" t="inlineStr">
        <is>
          <t>baseline hebdo (3 canaux) × multiple</t>
        </is>
      </c>
      <c r="D29" s="19">
        <f>IF(COUNTIFS(Social_hebdo!$A$2:$A$64,"2026-S42",Social_hebdo!$G$2:$G$64,"&lt;&gt;")=0,"à relever",SUMIFS(Social_hebdo!$G$2:$G$64,Social_hebdo!$A$2:$A$64,"2026-S42"))</f>
        <v/>
      </c>
      <c r="E29" s="19">
        <f>IF(ISNUMBER($D29),$D29*E17,"baseline à relever")</f>
        <v/>
      </c>
      <c r="F29" s="19">
        <f>IF(ISNUMBER($D29),$D29*F17,"baseline à relever")</f>
        <v/>
      </c>
      <c r="G29" s="19">
        <f>IF(ISNUMBER($D29),$D29*G17,"baseline à relever")</f>
        <v/>
      </c>
      <c r="H29" s="19">
        <f>IF(ISNUMBER($D29),$D29*H17,"baseline à relever")</f>
        <v/>
      </c>
      <c r="I29" s="18" t="inlineStr">
        <is>
          <t>hypothèse</t>
        </is>
      </c>
    </row>
    <row r="30">
      <c r="A30" s="18" t="inlineStr">
        <is>
          <t>engagements (tous canaux)</t>
        </is>
      </c>
      <c r="B30" s="18" t="inlineStr">
        <is>
          <t>social</t>
        </is>
      </c>
      <c r="C30" s="18" t="inlineStr">
        <is>
          <t>baseline hebdo (3 canaux) × multiple</t>
        </is>
      </c>
      <c r="D30" s="19">
        <f>IF(COUNTIFS(Social_hebdo!$A$2:$A$64,"2026-S42",Social_hebdo!$I$2:$I$64,"&lt;&gt;")=0,"à relever",SUMIFS(Social_hebdo!$I$2:$I$64,Social_hebdo!$A$2:$A$64,"2026-S42"))</f>
        <v/>
      </c>
      <c r="E30" s="19">
        <f>IF(ISNUMBER($D30),$D30*E18,"baseline à relever")</f>
        <v/>
      </c>
      <c r="F30" s="19">
        <f>IF(ISNUMBER($D30),$D30*F18,"baseline à relever")</f>
        <v/>
      </c>
      <c r="G30" s="19">
        <f>IF(ISNUMBER($D30),$D30*G18,"baseline à relever")</f>
        <v/>
      </c>
      <c r="H30" s="19">
        <f>IF(ISNUMBER($D30),$D30*H18,"baseline à relever")</f>
        <v/>
      </c>
      <c r="I30" s="18" t="inlineStr">
        <is>
          <t>hypothèse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  <col width="12" customWidth="1" min="4" max="4"/>
    <col width="60" customWidth="1" min="5" max="5"/>
    <col width="14" customWidth="1" min="6" max="6"/>
    <col width="22" customWidth="1" min="7" max="7"/>
  </cols>
  <sheetData>
    <row r="1" ht="32" customHeight="1">
      <c r="A1" s="1" t="inlineStr">
        <is>
          <t>KPI</t>
        </is>
      </c>
      <c r="B1" s="1" t="inlineStr">
        <is>
          <t>Famille</t>
        </is>
      </c>
      <c r="C1" s="1" t="inlineStr">
        <is>
          <t>Définition</t>
        </is>
      </c>
      <c r="D1" s="1" t="inlineStr">
        <is>
          <t>Nature</t>
        </is>
      </c>
      <c r="E1" s="1" t="inlineStr">
        <is>
          <t>Source de mesure</t>
        </is>
      </c>
      <c r="F1" s="1" t="inlineStr">
        <is>
          <t>Fréquence</t>
        </is>
      </c>
      <c r="G1" s="1" t="inlineStr">
        <is>
          <t>Responsable du relevé</t>
        </is>
      </c>
    </row>
    <row r="2">
      <c r="A2" s="20" t="inlineStr">
        <is>
          <t>publications</t>
        </is>
      </c>
      <c r="B2" s="20" t="inlineStr">
        <is>
          <t>social</t>
        </is>
      </c>
      <c r="C2" s="20" t="inlineStr">
        <is>
          <t>Nombre de publications publiées dans la semaine (post, carrousel, story) par canal.</t>
        </is>
      </c>
      <c r="D2" s="20" t="inlineStr">
        <is>
          <t>flux</t>
        </is>
      </c>
      <c r="E2" s="20" t="inlineStr">
        <is>
          <t>calendrier-editorial.xlsx (statut Publié) ; recoupement avec la page ou le compte.</t>
        </is>
      </c>
      <c r="F2" s="20" t="inlineStr">
        <is>
          <t>hebdo</t>
        </is>
      </c>
      <c r="G2" s="20" t="inlineStr">
        <is>
          <t>Tristan</t>
        </is>
      </c>
    </row>
    <row r="3">
      <c r="A3" s="21" t="inlineStr">
        <is>
          <t>impressions</t>
        </is>
      </c>
      <c r="B3" s="21" t="inlineStr">
        <is>
          <t>social</t>
        </is>
      </c>
      <c r="C3" s="21" t="inlineStr">
        <is>
          <t>Nombre d'affichages d'une publication (libellé natif : noter celui utilisé et ne pas en changer en cours de route).</t>
        </is>
      </c>
      <c r="D3" s="21" t="inlineStr">
        <is>
          <t>flux</t>
        </is>
      </c>
      <c r="E3" s="21" t="inlineStr">
        <is>
          <t>Statistiques natives LinkedIn (page, publications des profils) et Instagram.</t>
        </is>
      </c>
      <c r="F3" s="21" t="inlineStr">
        <is>
          <t>hebdo</t>
        </is>
      </c>
      <c r="G3" s="21" t="inlineStr">
        <is>
          <t>Tristan</t>
        </is>
      </c>
    </row>
    <row r="4">
      <c r="A4" s="20" t="inlineStr">
        <is>
          <t>reach</t>
        </is>
      </c>
      <c r="B4" s="20" t="inlineStr">
        <is>
          <t>social</t>
        </is>
      </c>
      <c r="C4" s="20" t="inlineStr">
        <is>
          <t>Personnes uniques atteintes, si la statistique native existe pour le format. Sinon laisser vide : ne jamais estimer.</t>
        </is>
      </c>
      <c r="D4" s="20" t="inlineStr">
        <is>
          <t>flux</t>
        </is>
      </c>
      <c r="E4" s="20" t="inlineStr">
        <is>
          <t>Statistiques natives LinkedIn et Instagram.</t>
        </is>
      </c>
      <c r="F4" s="20" t="inlineStr">
        <is>
          <t>hebdo</t>
        </is>
      </c>
      <c r="G4" s="20" t="inlineStr">
        <is>
          <t>Tristan</t>
        </is>
      </c>
    </row>
    <row r="5">
      <c r="A5" s="21" t="inlineStr">
        <is>
          <t>abonnes</t>
        </is>
      </c>
      <c r="B5" s="21" t="inlineStr">
        <is>
          <t>social</t>
        </is>
      </c>
      <c r="C5" s="21" t="inlineStr">
        <is>
          <t>Nombre d'abonnés en fin de semaine. Profils fondateurs : somme des abonnés des trois profils.</t>
        </is>
      </c>
      <c r="D5" s="21" t="inlineStr">
        <is>
          <t>stock</t>
        </is>
      </c>
      <c r="E5" s="21" t="inlineStr">
        <is>
          <t>Pages et profils LinkedIn ; compte Instagram.</t>
        </is>
      </c>
      <c r="F5" s="21" t="inlineStr">
        <is>
          <t>hebdo</t>
        </is>
      </c>
      <c r="G5" s="21" t="inlineStr">
        <is>
          <t>Tristan</t>
        </is>
      </c>
    </row>
    <row r="6">
      <c r="A6" s="20" t="inlineStr">
        <is>
          <t>engagements</t>
        </is>
      </c>
      <c r="B6" s="20" t="inlineStr">
        <is>
          <t>social</t>
        </is>
      </c>
      <c r="C6" s="20" t="inlineStr">
        <is>
          <t>Réactions + commentaires + partages (+ enregistrements sur Instagram). Les clics sont comptés à part.</t>
        </is>
      </c>
      <c r="D6" s="20" t="inlineStr">
        <is>
          <t>flux</t>
        </is>
      </c>
      <c r="E6" s="20" t="inlineStr">
        <is>
          <t>Statistiques natives.</t>
        </is>
      </c>
      <c r="F6" s="20" t="inlineStr">
        <is>
          <t>hebdo</t>
        </is>
      </c>
      <c r="G6" s="20" t="inlineStr">
        <is>
          <t>Tristan</t>
        </is>
      </c>
    </row>
    <row r="7">
      <c r="A7" s="21" t="inlineStr">
        <is>
          <t>taux_engagement</t>
        </is>
      </c>
      <c r="B7" s="21" t="inlineStr">
        <is>
          <t>social</t>
        </is>
      </c>
      <c r="C7" s="21" t="inlineStr">
        <is>
          <t>engagements / impressions (formule dans Social_hebdo, vide si impressions absentes).</t>
        </is>
      </c>
      <c r="D7" s="21" t="inlineStr">
        <is>
          <t>calculé</t>
        </is>
      </c>
      <c r="E7" s="21" t="inlineStr">
        <is>
          <t>Formule Excel.</t>
        </is>
      </c>
      <c r="F7" s="21" t="inlineStr">
        <is>
          <t>hebdo</t>
        </is>
      </c>
      <c r="G7" s="21" t="inlineStr">
        <is>
          <t>Tristan</t>
        </is>
      </c>
    </row>
    <row r="8">
      <c r="A8" s="20" t="inlineStr">
        <is>
          <t>clics</t>
        </is>
      </c>
      <c r="B8" s="20" t="inlineStr">
        <is>
          <t>social</t>
        </is>
      </c>
      <c r="C8" s="20" t="inlineStr">
        <is>
          <t>Clics sur le lien vers /pilote depuis une publication ou la bio Instagram.</t>
        </is>
      </c>
      <c r="D8" s="20" t="inlineStr">
        <is>
          <t>flux</t>
        </is>
      </c>
      <c r="E8" s="20" t="inlineStr">
        <is>
          <t>Statistiques natives (clics sur lien) ; lien Instagram en bio selon l'outil disponible.</t>
        </is>
      </c>
      <c r="F8" s="20" t="inlineStr">
        <is>
          <t>hebdo</t>
        </is>
      </c>
      <c r="G8" s="20" t="inlineStr">
        <is>
          <t>Tristan</t>
        </is>
      </c>
    </row>
    <row r="9">
      <c r="A9" s="21" t="inlineStr">
        <is>
          <t>visites_pilote</t>
        </is>
      </c>
      <c r="B9" s="21" t="inlineStr">
        <is>
          <t>social</t>
        </is>
      </c>
      <c r="C9" s="21" t="inlineStr">
        <is>
          <t>Visites de https://syntheza.ovh/pilote portant un utm_source. LinkedIn : total page + profils saisi sur la ligne « LinkedIn page » (un seul utm_source=linkedin).</t>
        </is>
      </c>
      <c r="D9" s="21" t="inlineStr">
        <is>
          <t>flux</t>
        </is>
      </c>
      <c r="E9" s="21" t="inlineStr">
        <is>
          <t>Outil de mesure du site : non documenté dans Documentation/contexte, à confirmer (point ouvert).</t>
        </is>
      </c>
      <c r="F9" s="21" t="inlineStr">
        <is>
          <t>hebdo</t>
        </is>
      </c>
      <c r="G9" s="21" t="inlineStr">
        <is>
          <t>Raphaël</t>
        </is>
      </c>
    </row>
    <row r="10">
      <c r="A10" s="20" t="inlineStr">
        <is>
          <t>comptes_cibles</t>
        </is>
      </c>
      <c r="B10" s="20" t="inlineStr">
        <is>
          <t>commercial</t>
        </is>
      </c>
      <c r="C10" s="20" t="inlineStr">
        <is>
          <t>Organisations qualifiées dans la liste P1 (trading, gestion d'actifs), sans donnée personnelle dans le dépôt public.</t>
        </is>
      </c>
      <c r="D10" s="20" t="inlineStr">
        <is>
          <t>stock</t>
        </is>
      </c>
      <c r="E10" s="20" t="inlineStr">
        <is>
          <t>Liste de prospection (hors dépôt public) et pipeline du back-office.</t>
        </is>
      </c>
      <c r="F10" s="20" t="inlineStr">
        <is>
          <t>hebdo</t>
        </is>
      </c>
      <c r="G10" s="20" t="inlineStr">
        <is>
          <t>Ilhan</t>
        </is>
      </c>
    </row>
    <row r="11">
      <c r="A11" s="21" t="inlineStr">
        <is>
          <t>contactes</t>
        </is>
      </c>
      <c r="B11" s="21" t="inlineStr">
        <is>
          <t>commercial</t>
        </is>
      </c>
      <c r="C11" s="21" t="inlineStr">
        <is>
          <t>Comptes contactés pour la première fois dans la semaine ; un compte ne compte qu'une fois.</t>
        </is>
      </c>
      <c r="D11" s="21" t="inlineStr">
        <is>
          <t>flux</t>
        </is>
      </c>
      <c r="E11" s="21" t="inlineStr">
        <is>
          <t>Journal d'échanges et pipeline du back-office.</t>
        </is>
      </c>
      <c r="F11" s="21" t="inlineStr">
        <is>
          <t>hebdo</t>
        </is>
      </c>
      <c r="G11" s="21" t="inlineStr">
        <is>
          <t>Ilhan</t>
        </is>
      </c>
    </row>
    <row r="12">
      <c r="A12" s="20" t="inlineStr">
        <is>
          <t>reponses</t>
        </is>
      </c>
      <c r="B12" s="20" t="inlineStr">
        <is>
          <t>commercial</t>
        </is>
      </c>
      <c r="C12" s="20" t="inlineStr">
        <is>
          <t>Comptes dont au moins une personne a répondu (réponse positive ou négative).</t>
        </is>
      </c>
      <c r="D12" s="20" t="inlineStr">
        <is>
          <t>flux</t>
        </is>
      </c>
      <c r="E12" s="20" t="inlineStr">
        <is>
          <t>Journal d'échanges.</t>
        </is>
      </c>
      <c r="F12" s="20" t="inlineStr">
        <is>
          <t>hebdo</t>
        </is>
      </c>
      <c r="G12" s="20" t="inlineStr">
        <is>
          <t>Ilhan</t>
        </is>
      </c>
    </row>
    <row r="13">
      <c r="A13" s="21" t="inlineStr">
        <is>
          <t>entretiens_decouverte</t>
        </is>
      </c>
      <c r="B13" s="21" t="inlineStr">
        <is>
          <t>commercial</t>
        </is>
      </c>
      <c r="C13" s="21" t="inlineStr">
        <is>
          <t>Entretiens de découverte tenus, avec compte-rendu documenté.</t>
        </is>
      </c>
      <c r="D13" s="21" t="inlineStr">
        <is>
          <t>flux</t>
        </is>
      </c>
      <c r="E13" s="21" t="inlineStr">
        <is>
          <t>Comptes-rendus d'entretien.</t>
        </is>
      </c>
      <c r="F13" s="21" t="inlineStr">
        <is>
          <t>hebdo</t>
        </is>
      </c>
      <c r="G13" s="21" t="inlineStr">
        <is>
          <t>Ilhan</t>
        </is>
      </c>
    </row>
    <row r="14">
      <c r="A14" s="20" t="inlineStr">
        <is>
          <t>demos</t>
        </is>
      </c>
      <c r="B14" s="20" t="inlineStr">
        <is>
          <t>commercial</t>
        </is>
      </c>
      <c r="C14" s="20" t="inlineStr">
        <is>
          <t>Démos réalisées auprès d'un compte cible.</t>
        </is>
      </c>
      <c r="D14" s="20" t="inlineStr">
        <is>
          <t>flux</t>
        </is>
      </c>
      <c r="E14" s="20" t="inlineStr">
        <is>
          <t>Pipeline du back-office (prochaine action, responsable).</t>
        </is>
      </c>
      <c r="F14" s="20" t="inlineStr">
        <is>
          <t>hebdo</t>
        </is>
      </c>
      <c r="G14" s="20" t="inlineStr">
        <is>
          <t>Ilhan</t>
        </is>
      </c>
    </row>
    <row r="15">
      <c r="A15" s="21" t="inlineStr">
        <is>
          <t>demandes_pilote</t>
        </is>
      </c>
      <c r="B15" s="21" t="inlineStr">
        <is>
          <t>commercial</t>
        </is>
      </c>
      <c r="C15" s="21" t="inlineStr">
        <is>
          <t>Demandes de pilote reçues (page /pilote, e-mail ou entretien), créées comme prospects.</t>
        </is>
      </c>
      <c r="D15" s="21" t="inlineStr">
        <is>
          <t>flux</t>
        </is>
      </c>
      <c r="E15" s="21" t="inlineStr">
        <is>
          <t>Back-office : pipeline de prospects.</t>
        </is>
      </c>
      <c r="F15" s="21" t="inlineStr">
        <is>
          <t>hebdo</t>
        </is>
      </c>
      <c r="G15" s="21" t="inlineStr">
        <is>
          <t>Ilhan</t>
        </is>
      </c>
    </row>
    <row r="16">
      <c r="A16" s="20" t="inlineStr">
        <is>
          <t>pilotes_actifs</t>
        </is>
      </c>
      <c r="B16" s="20" t="inlineStr">
        <is>
          <t>commercial</t>
        </is>
      </c>
      <c r="C16" s="20" t="inlineStr">
        <is>
          <t>Organisations au statut Pilote ou Actif à la date (les Expirées sont exclues).</t>
        </is>
      </c>
      <c r="D16" s="20" t="inlineStr">
        <is>
          <t>stock</t>
        </is>
      </c>
      <c r="E16" s="20" t="inlineStr">
        <is>
          <t>Back-office : Admin &gt; Organisations.</t>
        </is>
      </c>
      <c r="F16" s="20" t="inlineStr">
        <is>
          <t>hebdo</t>
        </is>
      </c>
      <c r="G16" s="20" t="inlineStr">
        <is>
          <t>Ilhan</t>
        </is>
      </c>
    </row>
    <row r="17">
      <c r="A17" s="21" t="inlineStr">
        <is>
          <t>contrats</t>
        </is>
      </c>
      <c r="B17" s="21" t="inlineStr">
        <is>
          <t>commercial</t>
        </is>
      </c>
      <c r="C17" s="21" t="inlineStr">
        <is>
          <t>Contrats signés dans la semaine, idéalement payants (préciser dans la note).</t>
        </is>
      </c>
      <c r="D17" s="21" t="inlineStr">
        <is>
          <t>flux</t>
        </is>
      </c>
      <c r="E17" s="21" t="inlineStr">
        <is>
          <t>Back-office et pièces contractuelles.</t>
        </is>
      </c>
      <c r="F17" s="21" t="inlineStr">
        <is>
          <t>hebdo</t>
        </is>
      </c>
      <c r="G17" s="21" t="inlineStr">
        <is>
          <t>Ilhan</t>
        </is>
      </c>
    </row>
    <row r="18">
      <c r="A18" s="20" t="inlineStr">
        <is>
          <t>nps_pilote</t>
        </is>
      </c>
      <c r="B18" s="20" t="inlineStr">
        <is>
          <t>commercial</t>
        </is>
      </c>
      <c r="C18" s="20" t="inlineStr">
        <is>
          <t>Score NPS moyen des réponses reçues à J+7 et J+25 ; indiquer n dans la note.</t>
        </is>
      </c>
      <c r="D18" s="20" t="inlineStr">
        <is>
          <t>calculé</t>
        </is>
      </c>
      <c r="E18" s="20" t="inlineStr">
        <is>
          <t>Questionnaire NPS du back-office.</t>
        </is>
      </c>
      <c r="F18" s="20" t="inlineStr">
        <is>
          <t>hebdo</t>
        </is>
      </c>
      <c r="G18" s="20" t="inlineStr">
        <is>
          <t>Ilhan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2026-10-15T10:19:26Z</dcterms:created>
  <dcterms:modified xsi:type="dcterms:W3CDTF">2026-10-15T10:19:33Z</dcterms:modified>
</cp:coreProperties>
</file>